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fcbf0fe29d15ca/Documents/Personal/My Personal Projects/GitHub/washingtonalto.github.io/family_tree_project/alto_family/excel/"/>
    </mc:Choice>
  </mc:AlternateContent>
  <xr:revisionPtr revIDLastSave="12" documentId="6_{50D98804-C5B4-443B-9209-2A692216128A}" xr6:coauthVersionLast="47" xr6:coauthVersionMax="47" xr10:uidLastSave="{AC664589-3D69-46BC-9CDF-BE29D8EB032D}"/>
  <bookViews>
    <workbookView xWindow="-108" yWindow="-108" windowWidth="23256" windowHeight="12456" xr2:uid="{9A1E33E0-BCBF-411C-B6A4-073C88D53E64}"/>
  </bookViews>
  <sheets>
    <sheet name="Data Entry" sheetId="1" r:id="rId1"/>
    <sheet name="Family Tree" sheetId="3" r:id="rId2"/>
    <sheet name="Lookup" sheetId="2" r:id="rId3"/>
  </sheets>
  <definedNames>
    <definedName name="lambda_calculateagefrombday">_xlfn.LAMBDA(_xlpm.birthdate,_xlpm.todaydate,DATEDIF(_xlpm.birthdate, _xlpm.todaydate, "Y") &amp; " years, " &amp; DATEDIF(_xlpm.birthdate, _xlpm.todaydate, "YM") &amp; " months, " &amp; DATEDIF(_xlpm.birthdate, _xlpm.todaydate, "MD") &amp; " days")</definedName>
    <definedName name="lambda_currentage">_xlfn.LAMBDA(_xlpm.birthdate,_xlpm.deathdate,_xlpm.currentdate,IF(AND(NOT(ISBLANK(_xlpm.birthdate)),ISBLANK(_xlpm.deathdate)),lambda_calculateagefrombday(_xlpm.birthdate,_xlpm.currentdate),""))</definedName>
    <definedName name="lambda_lifetimeage">_xlfn.LAMBDA(_xlpm.birthdate,_xlpm.deathdate,IF(AND(NOT(ISBLANK(bir)),NOT(ISBLANK(_xlpm.deathdate))),lambda_calculateagefrombday(_xlpm.birthdate,_xlpm.deathdate),""))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K40" i="1" a="1"/>
  <c r="K40" i="1" s="1"/>
  <c r="L40" i="1" a="1"/>
  <c r="L40" i="1" s="1"/>
  <c r="A39" i="1"/>
  <c r="M40" i="1" a="1"/>
  <c r="M40" i="1" s="1"/>
  <c r="N40" i="1" a="1"/>
  <c r="N40" i="1" s="1"/>
  <c r="O40" i="1" a="1"/>
  <c r="O40" i="1" s="1"/>
  <c r="A88" i="1"/>
  <c r="M88" i="1" a="1"/>
  <c r="M88" i="1" s="1"/>
  <c r="N88" i="1" a="1"/>
  <c r="N88" i="1" s="1"/>
  <c r="O88" i="1" a="1"/>
  <c r="O88" i="1" s="1"/>
  <c r="A62" i="1"/>
  <c r="K62" i="1" a="1"/>
  <c r="K62" i="1" s="1"/>
  <c r="L62" i="1" a="1"/>
  <c r="L62" i="1" s="1"/>
  <c r="N62" i="1" a="1"/>
  <c r="N62" i="1" s="1"/>
  <c r="O62" i="1" a="1"/>
  <c r="O62" i="1"/>
  <c r="A87" i="1"/>
  <c r="M87" i="1" a="1"/>
  <c r="M87" i="1" s="1"/>
  <c r="N87" i="1" a="1"/>
  <c r="N87" i="1" s="1"/>
  <c r="A86" i="1"/>
  <c r="M86" i="1" a="1"/>
  <c r="M86" i="1" s="1"/>
  <c r="N86" i="1" a="1"/>
  <c r="N86" i="1" s="1"/>
  <c r="A11" i="1"/>
  <c r="M12" i="1" s="1" a="1"/>
  <c r="M12" i="1" s="1"/>
  <c r="N11" i="1" a="1"/>
  <c r="N11" i="1" s="1"/>
  <c r="K10" i="1" a="1"/>
  <c r="K10" i="1" s="1"/>
  <c r="L10" i="1" a="1"/>
  <c r="L10" i="1" s="1"/>
  <c r="K12" i="1" a="1"/>
  <c r="K12" i="1" s="1"/>
  <c r="L12" i="1" a="1"/>
  <c r="L12" i="1" s="1"/>
  <c r="K14" i="1" a="1"/>
  <c r="K14" i="1" s="1"/>
  <c r="L14" i="1" a="1"/>
  <c r="L14" i="1" s="1"/>
  <c r="K16" i="1" a="1"/>
  <c r="K16" i="1" s="1"/>
  <c r="L16" i="1" a="1"/>
  <c r="L16" i="1" s="1"/>
  <c r="K17" i="1" a="1"/>
  <c r="K17" i="1" s="1"/>
  <c r="L17" i="1" a="1"/>
  <c r="L17" i="1" s="1"/>
  <c r="K20" i="1" a="1"/>
  <c r="K20" i="1" s="1"/>
  <c r="L20" i="1" a="1"/>
  <c r="L20" i="1" s="1"/>
  <c r="K22" i="1" a="1"/>
  <c r="K22" i="1" s="1"/>
  <c r="L22" i="1" a="1"/>
  <c r="L22" i="1" s="1"/>
  <c r="K23" i="1" a="1"/>
  <c r="K23" i="1" s="1"/>
  <c r="L23" i="1" a="1"/>
  <c r="L23" i="1" s="1"/>
  <c r="M25" i="1" a="1"/>
  <c r="M25" i="1" s="1"/>
  <c r="M26" i="1" a="1"/>
  <c r="M26" i="1" s="1"/>
  <c r="K28" i="1" a="1"/>
  <c r="K28" i="1" s="1"/>
  <c r="L28" i="1" a="1"/>
  <c r="L28" i="1" s="1"/>
  <c r="K30" i="1" a="1"/>
  <c r="K30" i="1" s="1"/>
  <c r="L30" i="1" a="1"/>
  <c r="L30" i="1" s="1"/>
  <c r="K32" i="1" a="1"/>
  <c r="K32" i="1" s="1"/>
  <c r="L32" i="1" a="1"/>
  <c r="L32" i="1" s="1"/>
  <c r="K34" i="1" a="1"/>
  <c r="K34" i="1" s="1"/>
  <c r="L34" i="1" a="1"/>
  <c r="L34" i="1" s="1"/>
  <c r="K36" i="1" a="1"/>
  <c r="K36" i="1" s="1"/>
  <c r="L36" i="1" a="1"/>
  <c r="L36" i="1" s="1"/>
  <c r="K38" i="1" a="1"/>
  <c r="K38" i="1" s="1"/>
  <c r="L38" i="1" a="1"/>
  <c r="L38" i="1" s="1"/>
  <c r="M39" i="1" a="1"/>
  <c r="M39" i="1" s="1"/>
  <c r="M41" i="1" a="1"/>
  <c r="M41" i="1" s="1"/>
  <c r="M42" i="1" a="1"/>
  <c r="M42" i="1" s="1"/>
  <c r="K44" i="1" a="1"/>
  <c r="K44" i="1" s="1"/>
  <c r="L44" i="1" a="1"/>
  <c r="L44" i="1" s="1"/>
  <c r="K46" i="1" a="1"/>
  <c r="K46" i="1" s="1"/>
  <c r="L46" i="1" a="1"/>
  <c r="L46" i="1" s="1"/>
  <c r="M47" i="1" a="1"/>
  <c r="M47" i="1" s="1"/>
  <c r="M48" i="1" a="1"/>
  <c r="M48" i="1" s="1"/>
  <c r="K50" i="1" a="1"/>
  <c r="K50" i="1" s="1"/>
  <c r="L50" i="1" a="1"/>
  <c r="L50" i="1" s="1"/>
  <c r="K52" i="1" a="1"/>
  <c r="K52" i="1" s="1"/>
  <c r="L52" i="1" a="1"/>
  <c r="L52" i="1" s="1"/>
  <c r="K53" i="1" a="1"/>
  <c r="K53" i="1" s="1"/>
  <c r="L53" i="1" a="1"/>
  <c r="L53" i="1" s="1"/>
  <c r="M56" i="1" a="1"/>
  <c r="M56" i="1" s="1"/>
  <c r="K57" i="1" a="1"/>
  <c r="K57" i="1" s="1"/>
  <c r="L57" i="1" a="1"/>
  <c r="L57" i="1" s="1"/>
  <c r="K60" i="1" a="1"/>
  <c r="K60" i="1" s="1"/>
  <c r="L60" i="1" a="1"/>
  <c r="L60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L73" i="1" a="1"/>
  <c r="L73" i="1" s="1"/>
  <c r="M73" i="1" a="1"/>
  <c r="M73" i="1" s="1"/>
  <c r="L74" i="1" a="1"/>
  <c r="L74" i="1" s="1"/>
  <c r="M74" i="1" a="1"/>
  <c r="M74" i="1" s="1"/>
  <c r="L75" i="1" a="1"/>
  <c r="L75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K84" i="1" a="1"/>
  <c r="K84" i="1" s="1"/>
  <c r="M84" i="1" a="1"/>
  <c r="M84" i="1" s="1"/>
  <c r="M85" i="1" a="1"/>
  <c r="M85" i="1" s="1"/>
  <c r="M61" i="1" a="1"/>
  <c r="M61" i="1" s="1"/>
  <c r="M63" i="1" a="1"/>
  <c r="M63" i="1" s="1"/>
  <c r="K7" i="1" a="1"/>
  <c r="K7" i="1" s="1"/>
  <c r="L7" i="1" a="1"/>
  <c r="L7" i="1" s="1"/>
  <c r="M8" i="1" a="1"/>
  <c r="M8" i="1" s="1"/>
  <c r="L6" i="1" a="1"/>
  <c r="L6" i="1" s="1"/>
  <c r="K6" i="1" a="1"/>
  <c r="K6" i="1" s="1"/>
  <c r="O6" i="1" a="1"/>
  <c r="O6" i="1" s="1"/>
  <c r="O7" i="1" a="1"/>
  <c r="O7" i="1" s="1"/>
  <c r="O8" i="1" a="1"/>
  <c r="O8" i="1" s="1"/>
  <c r="O19" i="1" a="1"/>
  <c r="O19" i="1" s="1"/>
  <c r="O10" i="1" a="1"/>
  <c r="O10" i="1" s="1"/>
  <c r="O12" i="1" a="1"/>
  <c r="O12" i="1" s="1"/>
  <c r="O14" i="1" a="1"/>
  <c r="O14" i="1"/>
  <c r="O16" i="1" a="1"/>
  <c r="O16" i="1" s="1"/>
  <c r="O17" i="1" a="1"/>
  <c r="O17" i="1" s="1"/>
  <c r="O20" i="1" a="1"/>
  <c r="O20" i="1" s="1"/>
  <c r="O22" i="1" a="1"/>
  <c r="O22" i="1" s="1"/>
  <c r="O23" i="1" a="1"/>
  <c r="O23" i="1" s="1"/>
  <c r="O25" i="1" a="1"/>
  <c r="O25" i="1" s="1"/>
  <c r="O26" i="1" a="1"/>
  <c r="O26" i="1" s="1"/>
  <c r="O27" i="1" a="1"/>
  <c r="O27" i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/>
  <c r="O36" i="1" a="1"/>
  <c r="O36" i="1" s="1"/>
  <c r="O37" i="1" a="1"/>
  <c r="O37" i="1" s="1"/>
  <c r="O38" i="1" a="1"/>
  <c r="O38" i="1" s="1"/>
  <c r="O39" i="1" a="1"/>
  <c r="O39" i="1" s="1"/>
  <c r="O41" i="1" a="1"/>
  <c r="O41" i="1" s="1"/>
  <c r="O42" i="1" a="1"/>
  <c r="O42" i="1" s="1"/>
  <c r="O43" i="1" a="1"/>
  <c r="O43" i="1" s="1"/>
  <c r="O44" i="1" a="1"/>
  <c r="O44" i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/>
  <c r="O54" i="1" a="1"/>
  <c r="O54" i="1" s="1"/>
  <c r="O53" i="1" a="1"/>
  <c r="O53" i="1" s="1"/>
  <c r="O55" i="1" a="1"/>
  <c r="O55" i="1" s="1"/>
  <c r="O56" i="1" a="1"/>
  <c r="O56" i="1" s="1"/>
  <c r="O58" i="1" a="1"/>
  <c r="O58" i="1" s="1"/>
  <c r="O57" i="1" a="1"/>
  <c r="O57" i="1" s="1"/>
  <c r="O59" i="1" a="1"/>
  <c r="O59" i="1" s="1"/>
  <c r="O60" i="1" a="1"/>
  <c r="O60" i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61" i="1" a="1"/>
  <c r="O61" i="1" s="1"/>
  <c r="O63" i="1" a="1"/>
  <c r="O63" i="1" s="1"/>
  <c r="N6" i="1" a="1"/>
  <c r="N6" i="1" s="1"/>
  <c r="N7" i="1" a="1"/>
  <c r="N7" i="1" s="1"/>
  <c r="N8" i="1" a="1"/>
  <c r="N8" i="1" s="1"/>
  <c r="N9" i="1" a="1"/>
  <c r="N9" i="1" s="1"/>
  <c r="N13" i="1" a="1"/>
  <c r="N13" i="1" s="1"/>
  <c r="N15" i="1" a="1"/>
  <c r="N15" i="1" s="1"/>
  <c r="N18" i="1" a="1"/>
  <c r="N18" i="1" s="1"/>
  <c r="N19" i="1" a="1"/>
  <c r="N19" i="1" s="1"/>
  <c r="N21" i="1" a="1"/>
  <c r="N21" i="1" s="1"/>
  <c r="N24" i="1" a="1"/>
  <c r="N24" i="1" s="1"/>
  <c r="N10" i="1" a="1"/>
  <c r="N10" i="1"/>
  <c r="N12" i="1" a="1"/>
  <c r="N12" i="1" s="1"/>
  <c r="N14" i="1" a="1"/>
  <c r="N14" i="1" s="1"/>
  <c r="N16" i="1" a="1"/>
  <c r="N16" i="1" s="1"/>
  <c r="N17" i="1" a="1"/>
  <c r="N17" i="1" s="1"/>
  <c r="N20" i="1" a="1"/>
  <c r="N20" i="1" s="1"/>
  <c r="N22" i="1" a="1"/>
  <c r="N22" i="1" s="1"/>
  <c r="N23" i="1" a="1"/>
  <c r="N23" i="1" s="1"/>
  <c r="N25" i="1" a="1"/>
  <c r="N25" i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1" i="1" a="1"/>
  <c r="N41" i="1" s="1"/>
  <c r="N42" i="1" a="1"/>
  <c r="N42" i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/>
  <c r="N49" i="1" a="1"/>
  <c r="N49" i="1" s="1"/>
  <c r="N50" i="1" a="1"/>
  <c r="N50" i="1"/>
  <c r="N51" i="1" a="1"/>
  <c r="N51" i="1" s="1"/>
  <c r="N52" i="1" a="1"/>
  <c r="N52" i="1" s="1"/>
  <c r="N54" i="1" a="1"/>
  <c r="N54" i="1" s="1"/>
  <c r="N53" i="1" a="1"/>
  <c r="N53" i="1" s="1"/>
  <c r="N55" i="1" a="1"/>
  <c r="N55" i="1" s="1"/>
  <c r="N56" i="1" a="1"/>
  <c r="N56" i="1" s="1"/>
  <c r="N58" i="1" a="1"/>
  <c r="N58" i="1"/>
  <c r="N57" i="1" a="1"/>
  <c r="N57" i="1" s="1"/>
  <c r="N59" i="1" a="1"/>
  <c r="N59" i="1" s="1"/>
  <c r="N60" i="1" a="1"/>
  <c r="N60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/>
  <c r="N83" i="1" a="1"/>
  <c r="N83" i="1" s="1"/>
  <c r="N84" i="1" a="1"/>
  <c r="N84" i="1" s="1"/>
  <c r="N85" i="1" a="1"/>
  <c r="N85" i="1" s="1"/>
  <c r="N61" i="1" a="1"/>
  <c r="N61" i="1" s="1"/>
  <c r="N63" i="1" a="1"/>
  <c r="N63" i="1" s="1"/>
  <c r="A63" i="1"/>
  <c r="A61" i="1"/>
  <c r="M62" i="1" s="1" a="1"/>
  <c r="M62" i="1" s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0" i="1"/>
  <c r="M59" i="1" a="1"/>
  <c r="M59" i="1" s="1"/>
  <c r="A59" i="1"/>
  <c r="M60" i="1" s="1" a="1"/>
  <c r="M60" i="1" s="1"/>
  <c r="A57" i="1"/>
  <c r="M58" i="1" a="1"/>
  <c r="M58" i="1" s="1"/>
  <c r="A58" i="1"/>
  <c r="L87" i="1" s="1" a="1"/>
  <c r="L87" i="1" s="1"/>
  <c r="L85" i="1" a="1"/>
  <c r="L85" i="1" s="1"/>
  <c r="A56" i="1"/>
  <c r="L84" i="1" a="1"/>
  <c r="L84" i="1" s="1"/>
  <c r="L80" i="1" a="1"/>
  <c r="L80" i="1" s="1"/>
  <c r="A55" i="1"/>
  <c r="K83" i="1" s="1" a="1"/>
  <c r="K83" i="1" s="1"/>
  <c r="A53" i="1"/>
  <c r="M54" i="1" a="1"/>
  <c r="M54" i="1" s="1"/>
  <c r="A54" i="1"/>
  <c r="L79" i="1" s="1" a="1"/>
  <c r="L79" i="1" s="1"/>
  <c r="A52" i="1"/>
  <c r="L78" i="1" s="1" a="1"/>
  <c r="L78" i="1" s="1"/>
  <c r="A51" i="1"/>
  <c r="K78" i="1" s="1" a="1"/>
  <c r="K78" i="1" s="1"/>
  <c r="A50" i="1"/>
  <c r="M49" i="1" a="1"/>
  <c r="M49" i="1" s="1"/>
  <c r="A49" i="1"/>
  <c r="M50" i="1" s="1" a="1"/>
  <c r="M50" i="1" s="1"/>
  <c r="A48" i="1"/>
  <c r="A47" i="1"/>
  <c r="A46" i="1"/>
  <c r="M45" i="1" s="1" a="1"/>
  <c r="M45" i="1" s="1"/>
  <c r="A45" i="1"/>
  <c r="K76" i="1" s="1" a="1"/>
  <c r="K76" i="1" s="1"/>
  <c r="A44" i="1"/>
  <c r="M43" i="1" a="1"/>
  <c r="M43" i="1" s="1"/>
  <c r="A43" i="1"/>
  <c r="M44" i="1" s="1" a="1"/>
  <c r="M44" i="1" s="1"/>
  <c r="A42" i="1"/>
  <c r="A41" i="1"/>
  <c r="K73" i="1" s="1" a="1"/>
  <c r="K73" i="1" s="1"/>
  <c r="A38" i="1"/>
  <c r="L72" i="1" s="1" a="1"/>
  <c r="L72" i="1" s="1"/>
  <c r="A37" i="1"/>
  <c r="M38" i="1" s="1" a="1"/>
  <c r="M38" i="1" s="1"/>
  <c r="A36" i="1"/>
  <c r="L70" i="1" s="1" a="1"/>
  <c r="L70" i="1" s="1"/>
  <c r="M35" i="1" a="1"/>
  <c r="M35" i="1" s="1"/>
  <c r="A35" i="1"/>
  <c r="K71" i="1" s="1" a="1"/>
  <c r="K71" i="1" s="1"/>
  <c r="A34" i="1"/>
  <c r="M33" i="1" a="1"/>
  <c r="M33" i="1" s="1"/>
  <c r="A33" i="1"/>
  <c r="K69" i="1" s="1" a="1"/>
  <c r="K69" i="1" s="1"/>
  <c r="M34" i="1" a="1"/>
  <c r="M34" i="1" s="1"/>
  <c r="A32" i="1"/>
  <c r="M31" i="1" a="1"/>
  <c r="M31" i="1" s="1"/>
  <c r="A31" i="1"/>
  <c r="M32" i="1" s="1" a="1"/>
  <c r="M32" i="1" s="1"/>
  <c r="A30" i="1"/>
  <c r="M29" i="1" s="1" a="1"/>
  <c r="M29" i="1" s="1"/>
  <c r="L66" i="1" a="1"/>
  <c r="L66" i="1" s="1"/>
  <c r="A29" i="1"/>
  <c r="K66" i="1" s="1" a="1"/>
  <c r="K66" i="1" s="1"/>
  <c r="A28" i="1"/>
  <c r="M27" i="1" a="1"/>
  <c r="M27" i="1" s="1"/>
  <c r="A27" i="1"/>
  <c r="M28" i="1" s="1" a="1"/>
  <c r="M28" i="1" s="1"/>
  <c r="K31" i="1" a="1"/>
  <c r="K31" i="1" s="1"/>
  <c r="K29" i="1" a="1"/>
  <c r="K29" i="1" s="1"/>
  <c r="K27" i="1" a="1"/>
  <c r="K27" i="1" s="1"/>
  <c r="L81" i="1" a="1"/>
  <c r="L81" i="1" s="1"/>
  <c r="B3" i="1"/>
  <c r="O21" i="1" s="1" a="1"/>
  <c r="O21" i="1" s="1"/>
  <c r="A26" i="1"/>
  <c r="A25" i="1"/>
  <c r="A23" i="1"/>
  <c r="K63" i="1" s="1" a="1"/>
  <c r="K63" i="1" s="1"/>
  <c r="A22" i="1"/>
  <c r="A6" i="3" s="1" a="1"/>
  <c r="A20" i="1"/>
  <c r="L51" i="1" a="1"/>
  <c r="L51" i="1" s="1"/>
  <c r="A17" i="1"/>
  <c r="K45" i="1" s="1" a="1"/>
  <c r="K45" i="1" s="1"/>
  <c r="A16" i="1"/>
  <c r="L41" i="1" a="1"/>
  <c r="L41" i="1" s="1"/>
  <c r="A14" i="1"/>
  <c r="M13" i="1" s="1" a="1"/>
  <c r="M13" i="1" s="1"/>
  <c r="L33" i="1" a="1"/>
  <c r="L33" i="1" s="1"/>
  <c r="A12" i="1"/>
  <c r="M11" i="1" s="1" a="1"/>
  <c r="M11" i="1" s="1"/>
  <c r="L27" i="1" a="1"/>
  <c r="L27" i="1" s="1"/>
  <c r="A10" i="1"/>
  <c r="L25" i="1" s="1" a="1"/>
  <c r="L25" i="1" s="1"/>
  <c r="A8" i="1"/>
  <c r="A9" i="1"/>
  <c r="K25" i="1" s="1" a="1"/>
  <c r="K25" i="1" s="1"/>
  <c r="A13" i="1"/>
  <c r="M14" i="1" a="1"/>
  <c r="M14" i="1" s="1"/>
  <c r="A15" i="1"/>
  <c r="K41" i="1" s="1" a="1"/>
  <c r="K41" i="1" s="1"/>
  <c r="K43" i="1" a="1"/>
  <c r="K43" i="1" s="1"/>
  <c r="A18" i="1"/>
  <c r="L47" i="1" a="1"/>
  <c r="L47" i="1" s="1"/>
  <c r="A19" i="1"/>
  <c r="K55" i="1" s="1" a="1"/>
  <c r="K55" i="1" s="1"/>
  <c r="A21" i="1"/>
  <c r="K59" i="1" s="1" a="1"/>
  <c r="K59" i="1" s="1"/>
  <c r="K58" i="1" a="1"/>
  <c r="K58" i="1" s="1"/>
  <c r="A24" i="1"/>
  <c r="M23" i="1" s="1" a="1"/>
  <c r="M23" i="1" s="1"/>
  <c r="L49" i="1" a="1"/>
  <c r="L49" i="1" s="1"/>
  <c r="M17" i="1" a="1"/>
  <c r="M17" i="1" s="1"/>
  <c r="A7" i="1"/>
  <c r="L18" i="1" s="1" a="1"/>
  <c r="L18" i="1" s="1"/>
  <c r="M6" i="1" a="1"/>
  <c r="M6" i="1" s="1"/>
  <c r="A6" i="1"/>
  <c r="K24" i="1" s="1" a="1"/>
  <c r="K24" i="1" s="1"/>
  <c r="L88" i="1" a="1"/>
  <c r="L88" i="1" s="1"/>
  <c r="L77" i="1" a="1"/>
  <c r="L77" i="1" s="1"/>
  <c r="L29" i="1" a="1"/>
  <c r="L29" i="1" s="1"/>
  <c r="K67" i="1" a="1"/>
  <c r="K67" i="1" s="1"/>
  <c r="K15" i="1" a="1"/>
  <c r="K15" i="1" s="1"/>
  <c r="L67" i="1" a="1"/>
  <c r="L67" i="1" s="1"/>
  <c r="L31" i="1" a="1"/>
  <c r="L31" i="1" s="1"/>
  <c r="M51" i="1" a="1"/>
  <c r="M51" i="1" s="1"/>
  <c r="M55" i="1" a="1"/>
  <c r="M55" i="1" s="1"/>
  <c r="L82" i="1" a="1"/>
  <c r="L82" i="1" s="1"/>
  <c r="K87" i="1" a="1"/>
  <c r="K87" i="1" s="1"/>
  <c r="L45" i="1" a="1"/>
  <c r="L45" i="1" s="1"/>
  <c r="L21" i="1" a="1"/>
  <c r="L21" i="1" s="1"/>
  <c r="K74" i="1" a="1"/>
  <c r="K74" i="1" s="1"/>
  <c r="L19" i="1" a="1"/>
  <c r="L19" i="1" s="1"/>
  <c r="L83" i="1" a="1"/>
  <c r="L83" i="1" s="1"/>
  <c r="L86" i="1" a="1"/>
  <c r="L86" i="1" s="1"/>
  <c r="K86" i="1" a="1"/>
  <c r="K86" i="1" s="1"/>
  <c r="K11" i="1" a="1"/>
  <c r="K11" i="1" s="1"/>
  <c r="K19" i="1" a="1"/>
  <c r="K19" i="1" s="1"/>
  <c r="L64" i="1" a="1"/>
  <c r="L64" i="1" s="1"/>
  <c r="L9" i="1" a="1"/>
  <c r="L9" i="1" s="1"/>
  <c r="M22" i="1" a="1"/>
  <c r="M22" i="1" s="1"/>
  <c r="L54" i="1" a="1"/>
  <c r="L54" i="1" s="1"/>
  <c r="L11" i="1" a="1"/>
  <c r="L11" i="1" s="1"/>
  <c r="L8" i="1" a="1"/>
  <c r="L8" i="1" s="1"/>
  <c r="K51" i="1" a="1"/>
  <c r="K51" i="1" s="1"/>
  <c r="K33" i="1" a="1"/>
  <c r="K33" i="1" s="1"/>
  <c r="K79" i="1" a="1"/>
  <c r="K79" i="1" s="1"/>
  <c r="K21" i="1" a="1"/>
  <c r="K21" i="1" s="1"/>
  <c r="L61" i="1" a="1"/>
  <c r="L61" i="1" s="1"/>
  <c r="K35" i="1" a="1"/>
  <c r="K35" i="1" s="1"/>
  <c r="M30" i="1" a="1"/>
  <c r="M30" i="1" s="1"/>
  <c r="L71" i="1" a="1"/>
  <c r="L71" i="1" s="1"/>
  <c r="L63" i="1" a="1"/>
  <c r="L63" i="1" s="1"/>
  <c r="M36" i="1" a="1"/>
  <c r="M36" i="1" s="1"/>
  <c r="K18" i="1" a="1"/>
  <c r="K18" i="1" s="1"/>
  <c r="L15" i="1" a="1"/>
  <c r="L15" i="1" s="1"/>
  <c r="L55" i="1" a="1"/>
  <c r="L55" i="1" s="1"/>
  <c r="L24" i="1" a="1"/>
  <c r="L24" i="1" s="1"/>
  <c r="L13" i="1" a="1"/>
  <c r="L13" i="1" s="1"/>
  <c r="K37" i="1" a="1"/>
  <c r="K37" i="1" s="1"/>
  <c r="K9" i="1" a="1"/>
  <c r="K9" i="1" s="1"/>
  <c r="M15" i="1" a="1"/>
  <c r="M15" i="1" s="1"/>
  <c r="K70" i="1" a="1"/>
  <c r="K70" i="1" s="1"/>
  <c r="O86" i="1" a="1"/>
  <c r="O86" i="1"/>
  <c r="L42" i="1" a="1"/>
  <c r="L42" i="1" s="1"/>
  <c r="K81" i="1" a="1"/>
  <c r="K81" i="1" s="1"/>
  <c r="K80" i="1" a="1"/>
  <c r="K80" i="1" s="1"/>
  <c r="K54" i="1" a="1"/>
  <c r="K54" i="1" s="1"/>
  <c r="L39" i="1" a="1"/>
  <c r="L39" i="1" s="1"/>
  <c r="M9" i="1" a="1"/>
  <c r="M9" i="1" s="1"/>
  <c r="L68" i="1" a="1"/>
  <c r="L68" i="1" s="1"/>
  <c r="L65" i="1" a="1"/>
  <c r="L65" i="1" s="1"/>
  <c r="L69" i="1" a="1"/>
  <c r="L69" i="1" s="1"/>
  <c r="M18" i="1" a="1"/>
  <c r="M18" i="1" s="1"/>
  <c r="L37" i="1" a="1"/>
  <c r="L37" i="1" s="1"/>
  <c r="M20" i="1" a="1"/>
  <c r="M20" i="1" s="1"/>
  <c r="M19" i="1" a="1"/>
  <c r="M19" i="1" s="1"/>
  <c r="L43" i="1" a="1"/>
  <c r="L43" i="1" s="1"/>
  <c r="L48" i="1" a="1"/>
  <c r="L48" i="1" s="1"/>
  <c r="L56" i="1" a="1"/>
  <c r="L56" i="1" s="1"/>
  <c r="K85" i="1" a="1"/>
  <c r="K85" i="1" s="1"/>
  <c r="O24" i="1" l="1" a="1"/>
  <c r="O24" i="1" s="1"/>
  <c r="O11" i="1" a="1"/>
  <c r="O11" i="1" s="1"/>
  <c r="O9" i="1" a="1"/>
  <c r="O9" i="1" s="1"/>
  <c r="O87" i="1" a="1"/>
  <c r="O87" i="1" s="1"/>
  <c r="O13" i="1" a="1"/>
  <c r="O13" i="1" s="1"/>
  <c r="O15" i="1" a="1"/>
  <c r="O15" i="1" s="1"/>
  <c r="O85" i="1" a="1"/>
  <c r="O85" i="1" s="1"/>
  <c r="O18" i="1" a="1"/>
  <c r="O18" i="1" s="1"/>
  <c r="D6" i="3" a="1"/>
  <c r="D6" i="3" s="1"/>
  <c r="L6" i="3" a="1"/>
  <c r="L6" i="3" s="1"/>
  <c r="A6" i="3"/>
  <c r="K47" i="1" a="1"/>
  <c r="K47" i="1" s="1"/>
  <c r="M16" i="1" a="1"/>
  <c r="M16" i="1" s="1"/>
  <c r="L26" i="1" a="1"/>
  <c r="L26" i="1" s="1"/>
  <c r="M37" i="1" a="1"/>
  <c r="M37" i="1" s="1"/>
  <c r="K56" i="1" a="1"/>
  <c r="K56" i="1" s="1"/>
  <c r="K68" i="1" a="1"/>
  <c r="K68" i="1" s="1"/>
  <c r="K77" i="1" a="1"/>
  <c r="K77" i="1" s="1"/>
  <c r="K75" i="1" a="1"/>
  <c r="K75" i="1" s="1"/>
  <c r="M7" i="1" a="1"/>
  <c r="M7" i="1" s="1"/>
  <c r="K42" i="1" a="1"/>
  <c r="K42" i="1" s="1"/>
  <c r="K39" i="1" a="1"/>
  <c r="K39" i="1" s="1"/>
  <c r="K8" i="1" a="1"/>
  <c r="K8" i="1" s="1"/>
  <c r="K82" i="1" a="1"/>
  <c r="K82" i="1" s="1"/>
  <c r="L35" i="1" a="1"/>
  <c r="L35" i="1" s="1"/>
  <c r="M57" i="1" a="1"/>
  <c r="M57" i="1" s="1"/>
  <c r="L58" i="1" a="1"/>
  <c r="L58" i="1" s="1"/>
  <c r="K72" i="1" a="1"/>
  <c r="K72" i="1" s="1"/>
  <c r="M46" i="1" a="1"/>
  <c r="M46" i="1" s="1"/>
  <c r="M52" i="1" a="1"/>
  <c r="M52" i="1" s="1"/>
  <c r="K61" i="1" a="1"/>
  <c r="K61" i="1" s="1"/>
  <c r="K88" i="1" a="1"/>
  <c r="K88" i="1" s="1"/>
  <c r="L59" i="1" a="1"/>
  <c r="L59" i="1" s="1"/>
  <c r="K64" i="1" a="1"/>
  <c r="K64" i="1" s="1"/>
  <c r="M24" i="1" a="1"/>
  <c r="M24" i="1" s="1"/>
  <c r="L76" i="1" a="1"/>
  <c r="L76" i="1" s="1"/>
  <c r="J6" i="3" a="1"/>
  <c r="J6" i="3" s="1"/>
  <c r="K26" i="1" a="1"/>
  <c r="K26" i="1" s="1"/>
  <c r="M53" i="1" a="1"/>
  <c r="M53" i="1" s="1"/>
  <c r="M21" i="1" a="1"/>
  <c r="M21" i="1" s="1"/>
  <c r="K65" i="1" a="1"/>
  <c r="K65" i="1" s="1"/>
  <c r="M10" i="1" a="1"/>
  <c r="M10" i="1" s="1"/>
  <c r="K13" i="1" a="1"/>
  <c r="K13" i="1" s="1"/>
  <c r="K49" i="1" a="1"/>
  <c r="K49" i="1" s="1"/>
  <c r="K48" i="1" a="1"/>
  <c r="K48" i="1" s="1"/>
  <c r="K6" i="3" l="1" a="1"/>
  <c r="K6" i="3" s="1"/>
  <c r="G6" i="3" a="1"/>
  <c r="G6" i="3" s="1"/>
  <c r="I6" i="3" a="1"/>
  <c r="I6" i="3" s="1"/>
  <c r="B6" i="3" a="1"/>
  <c r="B6" i="3" s="1"/>
  <c r="E6" i="3" a="1"/>
  <c r="E6" i="3" s="1"/>
  <c r="F6" i="3" a="1"/>
  <c r="F6" i="3" s="1"/>
  <c r="C6" i="3" a="1"/>
  <c r="C6" i="3" s="1"/>
  <c r="H6" i="3" a="1"/>
  <c r="H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<sst xmlns="http://schemas.openxmlformats.org/spreadsheetml/2006/main" count="438" uniqueCount="106">
  <si>
    <t>ALTO FAMILY DATA ENTRY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</si>
  <si>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>Fill-up the cells under "blue" report headers from Name up to Notes. Do not fill under "green" headers as they are calculated fields</t>
    </r>
  </si>
  <si>
    <t>Current date:</t>
  </si>
  <si>
    <t>PersonID</t>
  </si>
  <si>
    <t>Name</t>
  </si>
  <si>
    <t>Nickname</t>
  </si>
  <si>
    <t>Gender</t>
  </si>
  <si>
    <t>BirthDate</t>
  </si>
  <si>
    <t>DeathDate</t>
  </si>
  <si>
    <t>Father</t>
  </si>
  <si>
    <t>Mother</t>
  </si>
  <si>
    <t>Spouse</t>
  </si>
  <si>
    <t>Notes</t>
  </si>
  <si>
    <t>FatherID</t>
  </si>
  <si>
    <t>MotherID</t>
  </si>
  <si>
    <t>SpouseID</t>
  </si>
  <si>
    <t>LifeTime Age</t>
  </si>
  <si>
    <t>Current Age</t>
  </si>
  <si>
    <t>Jose G. Alto</t>
  </si>
  <si>
    <t>male</t>
  </si>
  <si>
    <t/>
  </si>
  <si>
    <t>Josefa D. Alto</t>
  </si>
  <si>
    <t>female</t>
  </si>
  <si>
    <t>Leticia D. Alto</t>
  </si>
  <si>
    <t>Jose D. Alto Jr.</t>
  </si>
  <si>
    <t>Clara de Vera Alto</t>
  </si>
  <si>
    <t>Job D. Alto</t>
  </si>
  <si>
    <t>Romulita C. Alto</t>
  </si>
  <si>
    <t>Jesse D. Alto</t>
  </si>
  <si>
    <t>Michelle L. Alto</t>
  </si>
  <si>
    <t>Jimmy D. Alto</t>
  </si>
  <si>
    <t>Ma. Piedad C. Alto</t>
  </si>
  <si>
    <t>Raul Zano</t>
  </si>
  <si>
    <t>Lydia A. Zano</t>
  </si>
  <si>
    <t>Josue D. Alto</t>
  </si>
  <si>
    <t>Angelina Alto</t>
  </si>
  <si>
    <t>Joseph D. Alto</t>
  </si>
  <si>
    <t>Loida H. Alto</t>
  </si>
  <si>
    <t>Thongbue Wongbandue</t>
  </si>
  <si>
    <t>Linda A. Wongbandue</t>
  </si>
  <si>
    <t>Maria Elena Alto</t>
  </si>
  <si>
    <t>Maria Lourdes Alto</t>
  </si>
  <si>
    <t>Christian Roy Alto</t>
  </si>
  <si>
    <t>Amelia F. Alto</t>
  </si>
  <si>
    <t>Philip Reginald Alto</t>
  </si>
  <si>
    <t>Mylene L. Alto</t>
  </si>
  <si>
    <t>Roland Ira Alto</t>
  </si>
  <si>
    <t>Merylle U. Alto</t>
  </si>
  <si>
    <t>Philo Alto</t>
  </si>
  <si>
    <t>Angel Young-Alto</t>
  </si>
  <si>
    <t>Washington Alto</t>
  </si>
  <si>
    <t>Marissa N. Alto</t>
  </si>
  <si>
    <t>Michael Alto</t>
  </si>
  <si>
    <t>Jaime Alicia H. Alto</t>
  </si>
  <si>
    <t>Lysander Alto</t>
  </si>
  <si>
    <t>Jimmy Jr. Alto</t>
  </si>
  <si>
    <t>Angelo Alto</t>
  </si>
  <si>
    <t>Josalyn  Elliott</t>
  </si>
  <si>
    <t>Patrick Elliott</t>
  </si>
  <si>
    <t>Reginald Zano</t>
  </si>
  <si>
    <t>Angelia Nina Zano</t>
  </si>
  <si>
    <t>Laurenti Raul Zano</t>
  </si>
  <si>
    <t>Raymond Zano</t>
  </si>
  <si>
    <t>Ryan Joy Zano</t>
  </si>
  <si>
    <t>Riza Joy Zano</t>
  </si>
  <si>
    <t>Joey Andrew Alto</t>
  </si>
  <si>
    <t>Rebecca Reyes Alto</t>
  </si>
  <si>
    <t>Joel Adam Alto</t>
  </si>
  <si>
    <t>Jesy Angeli Alto</t>
  </si>
  <si>
    <t>Fabian Lim</t>
  </si>
  <si>
    <t>Jason Alto</t>
  </si>
  <si>
    <t>Amy Hung</t>
  </si>
  <si>
    <t>Jaime Wongbandue</t>
  </si>
  <si>
    <t>Julie Wongbandue</t>
  </si>
  <si>
    <t>Denice Alto</t>
  </si>
  <si>
    <t>Nicolas Miles Alto</t>
  </si>
  <si>
    <t>Ava Margaux Alto</t>
  </si>
  <si>
    <t xml:space="preserve">Tifanny Claire </t>
  </si>
  <si>
    <t>Matthew Ira James</t>
  </si>
  <si>
    <t>Brandon Alto</t>
  </si>
  <si>
    <t>Harold Wilson Alto</t>
  </si>
  <si>
    <t>Sophia Joy Alto</t>
  </si>
  <si>
    <t>Noah Michael Alto</t>
  </si>
  <si>
    <t>Marina Alto</t>
  </si>
  <si>
    <t>Alexander Adam Alto</t>
  </si>
  <si>
    <t>Jayson Jordan Alto</t>
  </si>
  <si>
    <t>Dianne Joy Zano</t>
  </si>
  <si>
    <t>Justin Lhance Alto</t>
  </si>
  <si>
    <t>Joshua Landice Alto</t>
  </si>
  <si>
    <t>Jairo Leslie Alto</t>
  </si>
  <si>
    <t>Lyza Joelie Alto</t>
  </si>
  <si>
    <t>Ryder Garland</t>
  </si>
  <si>
    <t>Lookup_Gender</t>
  </si>
  <si>
    <t>pwd: alto</t>
  </si>
  <si>
    <t>Alexis Mei Lim</t>
  </si>
  <si>
    <t>Samara Jia Lim</t>
  </si>
  <si>
    <t>Tamsyn Jie Lim</t>
  </si>
  <si>
    <t>Nita Nash Wongbandue</t>
  </si>
  <si>
    <t>Zoe Alto</t>
  </si>
  <si>
    <t>Suzanne Alto</t>
  </si>
  <si>
    <t>Jo-Ann Alto</t>
  </si>
  <si>
    <t>Grace Ann Alto</t>
  </si>
  <si>
    <t>Arwen Reese Alto</t>
  </si>
  <si>
    <t>Aiden Rhyle</t>
  </si>
  <si>
    <t>Janiyah Ruisse Obiles</t>
  </si>
  <si>
    <t>Richard 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</si>
</sst>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 \(ddd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5E3DB-85CE-4457-908D-EB99FC4303A8}" name="Family" displayName="Family" ref="A5:O88" totalsRowShown="0" headerRowDxfId="20" dataDxfId="19">
  <autoFilter ref="A5:O88" xr:uid="{10E5E3DB-85CE-4457-908D-EB99FC4303A8}"/>
  <tableColumns count="15">
    <tableColumn id="1" xr3:uid="{9209114C-0460-4570-9D94-C60095FA5745}" name="PersonID" dataDxfId="18">
      <calculatedColumnFormula>ROW()-ROW(Family[[#Headers],[PersonID]])</calculatedColumnFormula>
    </tableColumn>
    <tableColumn id="2" xr3:uid="{009CC418-924E-49F6-8FCA-7B769637F7FD}" name="Name" dataDxfId="17"/>
    <tableColumn id="15" xr3:uid="{4C1D044A-8C5E-4AFC-8E4E-C2FCAB97A34D}" name="Nickname" dataDxfId="16"/>
    <tableColumn id="3" xr3:uid="{898E856A-3E67-443A-B6CF-A9B5A12CEA46}" name="Gender" dataDxfId="15"/>
    <tableColumn id="4" xr3:uid="{C720E0FF-6359-47E6-A2F4-AB8D9A363EE2}" name="BirthDate" dataDxfId="14"/>
    <tableColumn id="5" xr3:uid="{498E45FE-D50F-467A-AB83-B2E8C3D04DA1}" name="DeathDate" dataDxfId="13"/>
    <tableColumn id="12" xr3:uid="{2AA98799-20C7-411D-B2A5-DFEA0A7F7642}" name="Father" dataDxfId="12"/>
    <tableColumn id="13" xr3:uid="{5C4798DF-DFB6-4E73-9DAE-E1E139398347}" name="Mother" dataDxfId="11"/>
    <tableColumn id="14" xr3:uid="{DA7E8D0B-ED72-46F5-9628-B968F57BEA59}" name="Spouse" dataDxfId="10"/>
    <tableColumn id="9" xr3:uid="{EA2B7671-49E5-4902-A3F3-B1918B8494DE}" name="Notes" dataDxfId="9"/>
    <tableColumn id="6" xr3:uid="{9E746590-7A16-434E-8227-D0E8463A67D0}" name="FatherID" dataDxfId="8">
      <calculatedColumnFormula array="1">_xlfn.XLOOKUP(Family[[#This Row],[Father]],Family[[Name]:[Name]],Family[[PersonID]:[PersonID]],"",0)</calculatedColumnFormula>
    </tableColumn>
    <tableColumn id="7" xr3:uid="{7235B4CA-878D-4B51-8E3E-78366A0E6F26}" name="MotherID" dataDxfId="7">
      <calculatedColumnFormula array="1">_xlfn.XLOOKUP(Family[[#This Row],[Mother]],Family[[Name]:[Name]],Family[[PersonID]:[PersonID]],"",0)</calculatedColumnFormula>
    </tableColumn>
    <tableColumn id="8" xr3:uid="{F7290562-5B6C-472E-A7B3-6D448F6C0C7C}" name="SpouseID" dataDxfId="6">
      <calculatedColumnFormula array="1">_xlfn.XLOOKUP(Family[[#This Row],[Spouse]],Family[[Name]:[Name]],Family[[PersonID]:[PersonID]],"",0)</calculatedColumnFormula>
    </tableColumn>
    <tableColumn id="10" xr3:uid="{E9A75D4F-73FD-4BCA-A42C-52AA6886EF1A}" name="LifeTime Age" dataDxfId="5">
      <calculatedColumnFormula array="1">lambda_lifetimeage(Family[[#This Row],[BirthDate]],Family[[#This Row],[DeathDate]])</calculatedColumnFormula>
    </tableColumn>
    <tableColumn id="11" xr3:uid="{475558A6-F896-4F9A-AC89-3F2AB0951ED8}" name="Current Age" dataDxfId="4">
      <calculatedColumnFormula array="1">lambda_currentage(Family[[#This Row],[BirthDate]],Family[[#This Row],[DeathDate]],$B$3)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8B77B-4DD1-4DFD-BE95-AAA1FFD03E58}" name="Lookup_Gender" displayName="Lookup_Gender" ref="A3:A5" totalsRowShown="0" headerRowDxfId="3" dataDxfId="2">
  <autoFilter ref="A3:A5" xr:uid="{9098B77B-4DD1-4DFD-BE95-AAA1FFD03E58}"/>
  <tableColumns count="1">
    <tableColumn id="1" xr3:uid="{63BAEA8C-3836-42F0-ADBC-BA6F9A119A97}" name="Gend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4227-2704-4C14-8715-84BA17584D7D}">
  <sheetPr>
    <tabColor rgb="FF0070C0"/>
  </sheetPr>
  <dimension ref="A2:O149"/>
  <sheetViews>
    <sheetView showGridLines="0" tabSelected="1" workbookViewId="0">
      <pane xSplit="2" ySplit="5" topLeftCell="C70" activePane="bottomRight" state="frozen"/>
      <selection pane="topRight" activeCell="C1" sqref="C1"/>
      <selection pane="bottomLeft" activeCell="A6" sqref="A6"/>
      <selection pane="bottomRight" activeCell="I58" sqref="I58"/>
    </sheetView>
  </sheetViews>
  <sheetFormatPr defaultRowHeight="14.4" x14ac:dyDescent="0.3"/>
  <cols>
    <col min="1" max="1" width="10.33203125" customWidth="1"/>
    <col min="2" max="2" width="19.88671875" bestFit="1" customWidth="1"/>
    <col min="3" max="3" width="15.88671875" customWidth="1"/>
    <col min="4" max="4" width="9.33203125" bestFit="1" customWidth="1"/>
    <col min="5" max="6" width="20.6640625" style="7" customWidth="1"/>
    <col min="7" max="9" width="20.6640625" customWidth="1"/>
    <col min="10" max="10" width="30.6640625" customWidth="1"/>
    <col min="11" max="11" width="10.33203125" bestFit="1" customWidth="1"/>
    <col min="12" max="12" width="10.6640625" bestFit="1" customWidth="1"/>
    <col min="13" max="13" width="11.109375" bestFit="1" customWidth="1"/>
    <col min="14" max="15" width="23.109375" bestFit="1" customWidth="1"/>
  </cols>
  <sheetData>
    <row r="2" spans="1:15" x14ac:dyDescent="0.3">
      <c r="A2" s="1" t="s">
        <v>0</v>
      </c>
      <c r="D2" t="s">
        <v>1</v>
      </c>
    </row>
    <row r="3" spans="1:15" x14ac:dyDescent="0.3">
      <c r="A3" t="s">
        <v>2</v>
      </c>
      <c r="B3" s="2">
        <f ca="1">TODAY()</f>
        <v>46071</v>
      </c>
      <c r="C3" s="2"/>
    </row>
    <row r="5" spans="1:15" x14ac:dyDescent="0.3">
      <c r="A5" s="8" t="s">
        <v>3</v>
      </c>
      <c r="B5" t="s">
        <v>4</v>
      </c>
      <c r="C5" t="s">
        <v>5</v>
      </c>
      <c r="D5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</row>
    <row r="6" spans="1:15" x14ac:dyDescent="0.3">
      <c r="A6">
        <f>ROW()-ROW(Family[[#Headers],[PersonID]])</f>
        <v>1</v>
      </c>
      <c r="B6" s="3" t="s">
        <v>18</v>
      </c>
      <c r="C6" s="3"/>
      <c r="D6" s="3" t="s">
        <v>19</v>
      </c>
      <c r="E6" s="4">
        <v>1174</v>
      </c>
      <c r="F6" s="4">
        <v>32314</v>
      </c>
      <c r="G6" s="3" t="s">
        <v>20</v>
      </c>
      <c r="H6" s="3" t="s">
        <v>20</v>
      </c>
      <c r="I6" s="3" t="s">
        <v>21</v>
      </c>
      <c r="J6" s="3"/>
      <c r="K6" t="str" cm="1">
        <f t="array" ref="K6">_xlfn.XLOOKUP(Family[[#This Row],[Father]],Family[[Name]:[Name]],Family[[PersonID]:[PersonID]],"",0)</f>
        <v/>
      </c>
      <c r="L6" t="str" cm="1">
        <f t="array" ref="L6">_xlfn.XLOOKUP(Family[[#This Row],[Mother]],Family[[Name]:[Name]],Family[[PersonID]:[PersonID]],"",0)</f>
        <v/>
      </c>
      <c r="M6" cm="1">
        <f t="array" ref="M6">_xlfn.XLOOKUP(Family[[#This Row],[Spouse]],Family[[Name]:[Name]],Family[[PersonID]:[PersonID]],"",0)</f>
        <v>2</v>
      </c>
      <c r="N6" t="str" cm="1">
        <f t="array" ref="N6">lambda_lifetimeage(Family[[#This Row],[BirthDate]],Family[[#This Row],[DeathDate]])</f>
        <v>85 years, 3 months, 1 days</v>
      </c>
      <c r="O6" t="str" cm="1">
        <f t="array" ref="O6">lambda_currentage(Family[[#This Row],[BirthDate]],Family[[#This Row],[DeathDate]],$B$3)</f>
        <v/>
      </c>
    </row>
    <row r="7" spans="1:15" x14ac:dyDescent="0.3">
      <c r="A7">
        <f>ROW()-ROW(Family[[#Headers],[PersonID]])</f>
        <v>2</v>
      </c>
      <c r="B7" s="3" t="s">
        <v>21</v>
      </c>
      <c r="C7" s="3"/>
      <c r="D7" s="3" t="s">
        <v>22</v>
      </c>
      <c r="E7" s="4">
        <v>4753</v>
      </c>
      <c r="F7" s="4">
        <v>33847</v>
      </c>
      <c r="G7" s="3" t="s">
        <v>20</v>
      </c>
      <c r="H7" s="3" t="s">
        <v>20</v>
      </c>
      <c r="I7" s="3" t="s">
        <v>18</v>
      </c>
      <c r="J7" s="3"/>
      <c r="K7" t="str" cm="1">
        <f t="array" ref="K7">_xlfn.XLOOKUP(Family[[#This Row],[Father]],Family[[Name]:[Name]],Family[[PersonID]:[PersonID]],"",0)</f>
        <v/>
      </c>
      <c r="L7" t="str" cm="1">
        <f t="array" ref="L7">_xlfn.XLOOKUP(Family[[#This Row],[Mother]],Family[[Name]:[Name]],Family[[PersonID]:[PersonID]],"",0)</f>
        <v/>
      </c>
      <c r="M7" cm="1">
        <f t="array" ref="M7">_xlfn.XLOOKUP(Family[[#This Row],[Spouse]],Family[[Name]:[Name]],Family[[PersonID]:[PersonID]],"",0)</f>
        <v>1</v>
      </c>
      <c r="N7" t="str" cm="1">
        <f t="array" ref="N7">lambda_lifetimeage(Family[[#This Row],[BirthDate]],Family[[#This Row],[DeathDate]])</f>
        <v>79 years, 7 months, 27 days</v>
      </c>
      <c r="O7" t="str" cm="1">
        <f t="array" ref="O7">lambda_currentage(Family[[#This Row],[BirthDate]],Family[[#This Row],[DeathDate]],$B$3)</f>
        <v/>
      </c>
    </row>
    <row r="8" spans="1:15" x14ac:dyDescent="0.3">
      <c r="A8">
        <f>ROW()-ROW(Family[[#Headers],[PersonID]])</f>
        <v>3</v>
      </c>
      <c r="B8" s="3" t="s">
        <v>23</v>
      </c>
      <c r="C8" s="3"/>
      <c r="D8" s="3" t="s">
        <v>22</v>
      </c>
      <c r="E8" s="4">
        <v>11763</v>
      </c>
      <c r="F8" s="4">
        <v>37626</v>
      </c>
      <c r="G8" s="3" t="s">
        <v>18</v>
      </c>
      <c r="H8" s="3" t="s">
        <v>21</v>
      </c>
      <c r="I8" s="3" t="s">
        <v>20</v>
      </c>
      <c r="J8" s="3"/>
      <c r="K8" cm="1">
        <f t="array" ref="K8">_xlfn.XLOOKUP(Family[[#This Row],[Father]],Family[[Name]:[Name]],Family[[PersonID]:[PersonID]],"",0)</f>
        <v>1</v>
      </c>
      <c r="L8" cm="1">
        <f t="array" ref="L8">_xlfn.XLOOKUP(Family[[#This Row],[Mother]],Family[[Name]:[Name]],Family[[PersonID]:[PersonID]],"",0)</f>
        <v>2</v>
      </c>
      <c r="M8" t="str" cm="1">
        <f t="array" ref="M8">_xlfn.XLOOKUP(Family[[#This Row],[Spouse]],Family[[Name]:[Name]],Family[[PersonID]:[PersonID]],"",0)</f>
        <v/>
      </c>
      <c r="N8" t="str" cm="1">
        <f t="array" ref="N8">lambda_lifetimeage(Family[[#This Row],[BirthDate]],Family[[#This Row],[DeathDate]])</f>
        <v>70 years, 9 months, 21 days</v>
      </c>
      <c r="O8" t="str" cm="1">
        <f t="array" ref="O8">lambda_currentage(Family[[#This Row],[BirthDate]],Family[[#This Row],[DeathDate]],$B$3)</f>
        <v/>
      </c>
    </row>
    <row r="9" spans="1:15" x14ac:dyDescent="0.3">
      <c r="A9">
        <f>ROW()-ROW(Family[[#Headers],[PersonID]])</f>
        <v>4</v>
      </c>
      <c r="B9" s="3" t="s">
        <v>24</v>
      </c>
      <c r="C9" s="3"/>
      <c r="D9" s="3" t="s">
        <v>19</v>
      </c>
      <c r="E9" s="4">
        <v>12395</v>
      </c>
      <c r="F9" s="4"/>
      <c r="G9" s="3" t="s">
        <v>18</v>
      </c>
      <c r="H9" s="3" t="s">
        <v>21</v>
      </c>
      <c r="I9" s="3" t="s">
        <v>25</v>
      </c>
      <c r="J9" s="3"/>
      <c r="K9" cm="1">
        <f t="array" ref="K9">_xlfn.XLOOKUP(Family[[#This Row],[Father]],Family[[Name]:[Name]],Family[[PersonID]:[PersonID]],"",0)</f>
        <v>1</v>
      </c>
      <c r="L9" cm="1">
        <f t="array" ref="L9">_xlfn.XLOOKUP(Family[[#This Row],[Mother]],Family[[Name]:[Name]],Family[[PersonID]:[PersonID]],"",0)</f>
        <v>2</v>
      </c>
      <c r="M9" cm="1">
        <f t="array" ref="M9">_xlfn.XLOOKUP(Family[[#This Row],[Spouse]],Family[[Name]:[Name]],Family[[PersonID]:[PersonID]],"",0)</f>
        <v>5</v>
      </c>
      <c r="N9" t="str" cm="1">
        <f t="array" ref="N9">lambda_lifetimeage(Family[[#This Row],[BirthDate]],Family[[#This Row],[DeathDate]])</f>
        <v/>
      </c>
      <c r="O9" t="str" cm="1">
        <f t="array" aca="1" ref="O9" ca="1">lambda_currentage(Family[[#This Row],[BirthDate]],Family[[#This Row],[DeathDate]],$B$3)</f>
        <v>92 years, 2 months, 11 days</v>
      </c>
    </row>
    <row r="10" spans="1:15" x14ac:dyDescent="0.3">
      <c r="A10">
        <f>ROW()-ROW(Family[[#Headers],[PersonID]])</f>
        <v>5</v>
      </c>
      <c r="B10" s="3" t="s">
        <v>25</v>
      </c>
      <c r="C10" s="3"/>
      <c r="D10" s="3" t="s">
        <v>22</v>
      </c>
      <c r="E10" s="4"/>
      <c r="F10" s="4"/>
      <c r="G10" s="3" t="s">
        <v>20</v>
      </c>
      <c r="H10" s="3" t="s">
        <v>20</v>
      </c>
      <c r="I10" s="3" t="s">
        <v>24</v>
      </c>
      <c r="J10" s="3"/>
      <c r="K10" t="str" cm="1">
        <f t="array" ref="K10">_xlfn.XLOOKUP(Family[[#This Row],[Father]],Family[[Name]:[Name]],Family[[PersonID]:[PersonID]],"",0)</f>
        <v/>
      </c>
      <c r="L10" t="str" cm="1">
        <f t="array" ref="L10">_xlfn.XLOOKUP(Family[[#This Row],[Mother]],Family[[Name]:[Name]],Family[[PersonID]:[PersonID]],"",0)</f>
        <v/>
      </c>
      <c r="M10" cm="1">
        <f t="array" ref="M10">_xlfn.XLOOKUP(Family[[#This Row],[Spouse]],Family[[Name]:[Name]],Family[[PersonID]:[PersonID]],"",0)</f>
        <v>4</v>
      </c>
      <c r="N10" t="str" cm="1">
        <f t="array" ref="N10">lambda_lifetimeage(Family[[#This Row],[BirthDate]],Family[[#This Row],[DeathDate]])</f>
        <v/>
      </c>
      <c r="O10" t="str" cm="1">
        <f t="array" ref="O10">lambda_currentage(Family[[#This Row],[BirthDate]],Family[[#This Row],[DeathDate]],$B$3)</f>
        <v/>
      </c>
    </row>
    <row r="11" spans="1:15" x14ac:dyDescent="0.3">
      <c r="A11">
        <f>ROW()-ROW(Family[[#Headers],[PersonID]])</f>
        <v>6</v>
      </c>
      <c r="B11" s="3" t="s">
        <v>26</v>
      </c>
      <c r="C11" s="3"/>
      <c r="D11" s="3" t="s">
        <v>19</v>
      </c>
      <c r="E11" s="4">
        <v>13162</v>
      </c>
      <c r="F11" s="4"/>
      <c r="G11" s="3" t="s">
        <v>18</v>
      </c>
      <c r="H11" s="3" t="s">
        <v>21</v>
      </c>
      <c r="I11" s="3" t="s">
        <v>27</v>
      </c>
      <c r="J11" s="3"/>
      <c r="K11" cm="1">
        <f t="array" ref="K11">_xlfn.XLOOKUP(Family[[#This Row],[Father]],Family[[Name]:[Name]],Family[[PersonID]:[PersonID]],"",0)</f>
        <v>1</v>
      </c>
      <c r="L11" cm="1">
        <f t="array" ref="L11">_xlfn.XLOOKUP(Family[[#This Row],[Mother]],Family[[Name]:[Name]],Family[[PersonID]:[PersonID]],"",0)</f>
        <v>2</v>
      </c>
      <c r="M11" cm="1">
        <f t="array" ref="M11">_xlfn.XLOOKUP(Family[[#This Row],[Spouse]],Family[[Name]:[Name]],Family[[PersonID]:[PersonID]],"",0)</f>
        <v>7</v>
      </c>
      <c r="N11" t="str" cm="1">
        <f t="array" ref="N11">lambda_lifetimeage(Family[[#This Row],[BirthDate]],Family[[#This Row],[DeathDate]])</f>
        <v/>
      </c>
      <c r="O11" t="str" cm="1">
        <f t="array" aca="1" ref="O11" ca="1">lambda_currentage(Family[[#This Row],[BirthDate]],Family[[#This Row],[DeathDate]],$B$3)</f>
        <v>90 years, 1 months, 5 days</v>
      </c>
    </row>
    <row r="12" spans="1:15" x14ac:dyDescent="0.3">
      <c r="A12">
        <f>ROW()-ROW(Family[[#Headers],[PersonID]])</f>
        <v>7</v>
      </c>
      <c r="B12" s="3" t="s">
        <v>27</v>
      </c>
      <c r="C12" s="3"/>
      <c r="D12" s="3" t="s">
        <v>22</v>
      </c>
      <c r="E12" s="4"/>
      <c r="F12" s="4"/>
      <c r="G12" s="3" t="s">
        <v>20</v>
      </c>
      <c r="H12" s="3" t="s">
        <v>20</v>
      </c>
      <c r="I12" s="3" t="s">
        <v>26</v>
      </c>
      <c r="J12" s="3"/>
      <c r="K12" t="str" cm="1">
        <f t="array" ref="K12">_xlfn.XLOOKUP(Family[[#This Row],[Father]],Family[[Name]:[Name]],Family[[PersonID]:[PersonID]],"",0)</f>
        <v/>
      </c>
      <c r="L12" t="str" cm="1">
        <f t="array" ref="L12">_xlfn.XLOOKUP(Family[[#This Row],[Mother]],Family[[Name]:[Name]],Family[[PersonID]:[PersonID]],"",0)</f>
        <v/>
      </c>
      <c r="M12" cm="1">
        <f t="array" ref="M12">_xlfn.XLOOKUP(Family[[#This Row],[Spouse]],Family[[Name]:[Name]],Family[[PersonID]:[PersonID]],"",0)</f>
        <v>6</v>
      </c>
      <c r="N12" t="str" cm="1">
        <f t="array" ref="N12">lambda_lifetimeage(Family[[#This Row],[BirthDate]],Family[[#This Row],[DeathDate]])</f>
        <v/>
      </c>
      <c r="O12" t="str" cm="1">
        <f t="array" ref="O12">lambda_currentage(Family[[#This Row],[BirthDate]],Family[[#This Row],[DeathDate]],$B$3)</f>
        <v/>
      </c>
    </row>
    <row r="13" spans="1:15" x14ac:dyDescent="0.3">
      <c r="A13">
        <f>ROW()-ROW(Family[[#Headers],[PersonID]])</f>
        <v>8</v>
      </c>
      <c r="B13" s="3" t="s">
        <v>28</v>
      </c>
      <c r="C13" s="3"/>
      <c r="D13" s="3" t="s">
        <v>19</v>
      </c>
      <c r="E13" s="4">
        <v>14782</v>
      </c>
      <c r="F13" s="4"/>
      <c r="G13" s="3" t="s">
        <v>18</v>
      </c>
      <c r="H13" s="3" t="s">
        <v>21</v>
      </c>
      <c r="I13" s="3" t="s">
        <v>29</v>
      </c>
      <c r="J13" s="3"/>
      <c r="K13" cm="1">
        <f t="array" ref="K13">_xlfn.XLOOKUP(Family[[#This Row],[Father]],Family[[Name]:[Name]],Family[[PersonID]:[PersonID]],"",0)</f>
        <v>1</v>
      </c>
      <c r="L13" cm="1">
        <f t="array" ref="L13">_xlfn.XLOOKUP(Family[[#This Row],[Mother]],Family[[Name]:[Name]],Family[[PersonID]:[PersonID]],"",0)</f>
        <v>2</v>
      </c>
      <c r="M13" cm="1">
        <f t="array" ref="M13">_xlfn.XLOOKUP(Family[[#This Row],[Spouse]],Family[[Name]:[Name]],Family[[PersonID]:[PersonID]],"",0)</f>
        <v>9</v>
      </c>
      <c r="N13" t="str" cm="1">
        <f t="array" ref="N13">lambda_lifetimeage(Family[[#This Row],[BirthDate]],Family[[#This Row],[DeathDate]])</f>
        <v/>
      </c>
      <c r="O13" t="str" cm="1">
        <f t="array" aca="1" ref="O13" ca="1">lambda_currentage(Family[[#This Row],[BirthDate]],Family[[#This Row],[DeathDate]],$B$3)</f>
        <v>85 years, 7 months, 29 days</v>
      </c>
    </row>
    <row r="14" spans="1:15" x14ac:dyDescent="0.3">
      <c r="A14">
        <f>ROW()-ROW(Family[[#Headers],[PersonID]])</f>
        <v>9</v>
      </c>
      <c r="B14" s="3" t="s">
        <v>29</v>
      </c>
      <c r="C14" s="3"/>
      <c r="D14" s="3" t="s">
        <v>22</v>
      </c>
      <c r="E14" s="4"/>
      <c r="F14" s="4"/>
      <c r="G14" s="3" t="s">
        <v>20</v>
      </c>
      <c r="H14" s="3" t="s">
        <v>20</v>
      </c>
      <c r="I14" s="3" t="s">
        <v>28</v>
      </c>
      <c r="J14" s="3"/>
      <c r="K14" t="str" cm="1">
        <f t="array" ref="K14">_xlfn.XLOOKUP(Family[[#This Row],[Father]],Family[[Name]:[Name]],Family[[PersonID]:[PersonID]],"",0)</f>
        <v/>
      </c>
      <c r="L14" t="str" cm="1">
        <f t="array" ref="L14">_xlfn.XLOOKUP(Family[[#This Row],[Mother]],Family[[Name]:[Name]],Family[[PersonID]:[PersonID]],"",0)</f>
        <v/>
      </c>
      <c r="M14" cm="1">
        <f t="array" ref="M14">_xlfn.XLOOKUP(Family[[#This Row],[Spouse]],Family[[Name]:[Name]],Family[[PersonID]:[PersonID]],"",0)</f>
        <v>8</v>
      </c>
      <c r="N14" t="str" cm="1">
        <f t="array" ref="N14">lambda_lifetimeage(Family[[#This Row],[BirthDate]],Family[[#This Row],[DeathDate]])</f>
        <v/>
      </c>
      <c r="O14" t="str" cm="1">
        <f t="array" ref="O14">lambda_currentage(Family[[#This Row],[BirthDate]],Family[[#This Row],[DeathDate]],$B$3)</f>
        <v/>
      </c>
    </row>
    <row r="15" spans="1:15" x14ac:dyDescent="0.3">
      <c r="A15">
        <f>ROW()-ROW(Family[[#Headers],[PersonID]])</f>
        <v>10</v>
      </c>
      <c r="B15" s="3" t="s">
        <v>30</v>
      </c>
      <c r="C15" s="3"/>
      <c r="D15" s="3" t="s">
        <v>19</v>
      </c>
      <c r="E15" s="4">
        <v>15523</v>
      </c>
      <c r="F15" s="4"/>
      <c r="G15" s="3" t="s">
        <v>18</v>
      </c>
      <c r="H15" s="3" t="s">
        <v>21</v>
      </c>
      <c r="I15" s="3" t="s">
        <v>31</v>
      </c>
      <c r="J15" s="3"/>
      <c r="K15" cm="1">
        <f t="array" ref="K15">_xlfn.XLOOKUP(Family[[#This Row],[Father]],Family[[Name]:[Name]],Family[[PersonID]:[PersonID]],"",0)</f>
        <v>1</v>
      </c>
      <c r="L15" cm="1">
        <f t="array" ref="L15">_xlfn.XLOOKUP(Family[[#This Row],[Mother]],Family[[Name]:[Name]],Family[[PersonID]:[PersonID]],"",0)</f>
        <v>2</v>
      </c>
      <c r="M15" cm="1">
        <f t="array" ref="M15">_xlfn.XLOOKUP(Family[[#This Row],[Spouse]],Family[[Name]:[Name]],Family[[PersonID]:[PersonID]],"",0)</f>
        <v>11</v>
      </c>
      <c r="N15" t="str" cm="1">
        <f t="array" ref="N15">lambda_lifetimeage(Family[[#This Row],[BirthDate]],Family[[#This Row],[DeathDate]])</f>
        <v/>
      </c>
      <c r="O15" t="str" cm="1">
        <f t="array" aca="1" ref="O15" ca="1">lambda_currentage(Family[[#This Row],[BirthDate]],Family[[#This Row],[DeathDate]],$B$3)</f>
        <v>83 years, 7 months, 17 days</v>
      </c>
    </row>
    <row r="16" spans="1:15" x14ac:dyDescent="0.3">
      <c r="A16">
        <f>ROW()-ROW(Family[[#Headers],[PersonID]])</f>
        <v>11</v>
      </c>
      <c r="B16" s="3" t="s">
        <v>31</v>
      </c>
      <c r="C16" s="3"/>
      <c r="D16" s="3" t="s">
        <v>22</v>
      </c>
      <c r="E16" s="4"/>
      <c r="F16" s="4"/>
      <c r="G16" s="3" t="s">
        <v>20</v>
      </c>
      <c r="H16" s="3" t="s">
        <v>20</v>
      </c>
      <c r="I16" s="3" t="s">
        <v>30</v>
      </c>
      <c r="J16" s="3"/>
      <c r="K16" t="str" cm="1">
        <f t="array" ref="K16">_xlfn.XLOOKUP(Family[[#This Row],[Father]],Family[[Name]:[Name]],Family[[PersonID]:[PersonID]],"",0)</f>
        <v/>
      </c>
      <c r="L16" t="str" cm="1">
        <f t="array" ref="L16">_xlfn.XLOOKUP(Family[[#This Row],[Mother]],Family[[Name]:[Name]],Family[[PersonID]:[PersonID]],"",0)</f>
        <v/>
      </c>
      <c r="M16" cm="1">
        <f t="array" ref="M16">_xlfn.XLOOKUP(Family[[#This Row],[Spouse]],Family[[Name]:[Name]],Family[[PersonID]:[PersonID]],"",0)</f>
        <v>10</v>
      </c>
      <c r="N16" t="str" cm="1">
        <f t="array" ref="N16">lambda_lifetimeage(Family[[#This Row],[BirthDate]],Family[[#This Row],[DeathDate]])</f>
        <v/>
      </c>
      <c r="O16" t="str" cm="1">
        <f t="array" ref="O16">lambda_currentage(Family[[#This Row],[BirthDate]],Family[[#This Row],[DeathDate]],$B$3)</f>
        <v/>
      </c>
    </row>
    <row r="17" spans="1:15" x14ac:dyDescent="0.3">
      <c r="A17">
        <f>ROW()-ROW(Family[[#Headers],[PersonID]])</f>
        <v>12</v>
      </c>
      <c r="B17" s="3" t="s">
        <v>32</v>
      </c>
      <c r="C17" s="3"/>
      <c r="D17" s="3" t="s">
        <v>19</v>
      </c>
      <c r="E17" s="4"/>
      <c r="F17" s="4"/>
      <c r="G17" s="3" t="s">
        <v>20</v>
      </c>
      <c r="H17" s="3" t="s">
        <v>20</v>
      </c>
      <c r="I17" s="3" t="s">
        <v>33</v>
      </c>
      <c r="J17" s="3"/>
      <c r="K17" t="str" cm="1">
        <f t="array" ref="K17">_xlfn.XLOOKUP(Family[[#This Row],[Father]],Family[[Name]:[Name]],Family[[PersonID]:[PersonID]],"",0)</f>
        <v/>
      </c>
      <c r="L17" t="str" cm="1">
        <f t="array" ref="L17">_xlfn.XLOOKUP(Family[[#This Row],[Mother]],Family[[Name]:[Name]],Family[[PersonID]:[PersonID]],"",0)</f>
        <v/>
      </c>
      <c r="M17" cm="1">
        <f t="array" ref="M17">_xlfn.XLOOKUP(Family[[#This Row],[Spouse]],Family[[Name]:[Name]],Family[[PersonID]:[PersonID]],"",0)</f>
        <v>13</v>
      </c>
      <c r="N17" t="str" cm="1">
        <f t="array" ref="N17">lambda_lifetimeage(Family[[#This Row],[BirthDate]],Family[[#This Row],[DeathDate]])</f>
        <v/>
      </c>
      <c r="O17" t="str" cm="1">
        <f t="array" ref="O17">lambda_currentage(Family[[#This Row],[BirthDate]],Family[[#This Row],[DeathDate]],$B$3)</f>
        <v/>
      </c>
    </row>
    <row r="18" spans="1:15" x14ac:dyDescent="0.3">
      <c r="A18">
        <f>ROW()-ROW(Family[[#Headers],[PersonID]])</f>
        <v>13</v>
      </c>
      <c r="B18" s="3" t="s">
        <v>33</v>
      </c>
      <c r="C18" s="3"/>
      <c r="D18" s="3" t="s">
        <v>22</v>
      </c>
      <c r="E18" s="4">
        <v>17507</v>
      </c>
      <c r="F18" s="4"/>
      <c r="G18" s="3" t="s">
        <v>18</v>
      </c>
      <c r="H18" s="3" t="s">
        <v>21</v>
      </c>
      <c r="I18" s="3" t="s">
        <v>32</v>
      </c>
      <c r="J18" s="3"/>
      <c r="K18" cm="1">
        <f t="array" ref="K18">_xlfn.XLOOKUP(Family[[#This Row],[Father]],Family[[Name]:[Name]],Family[[PersonID]:[PersonID]],"",0)</f>
        <v>1</v>
      </c>
      <c r="L18" cm="1">
        <f t="array" ref="L18">_xlfn.XLOOKUP(Family[[#This Row],[Mother]],Family[[Name]:[Name]],Family[[PersonID]:[PersonID]],"",0)</f>
        <v>2</v>
      </c>
      <c r="M18" cm="1">
        <f t="array" ref="M18">_xlfn.XLOOKUP(Family[[#This Row],[Spouse]],Family[[Name]:[Name]],Family[[PersonID]:[PersonID]],"",0)</f>
        <v>12</v>
      </c>
      <c r="N18" t="str" cm="1">
        <f t="array" ref="N18">lambda_lifetimeage(Family[[#This Row],[BirthDate]],Family[[#This Row],[DeathDate]])</f>
        <v/>
      </c>
      <c r="O18" t="str" cm="1">
        <f t="array" aca="1" ref="O18" ca="1">lambda_currentage(Family[[#This Row],[BirthDate]],Family[[#This Row],[DeathDate]],$B$3)</f>
        <v>78 years, 2 months, 12 days</v>
      </c>
    </row>
    <row r="19" spans="1:15" x14ac:dyDescent="0.3">
      <c r="A19">
        <f>ROW()-ROW(Family[[#Headers],[PersonID]])</f>
        <v>14</v>
      </c>
      <c r="B19" s="3" t="s">
        <v>34</v>
      </c>
      <c r="C19" s="3"/>
      <c r="D19" s="3" t="s">
        <v>19</v>
      </c>
      <c r="E19" s="4">
        <v>18790</v>
      </c>
      <c r="F19" s="4">
        <v>36903</v>
      </c>
      <c r="G19" s="3" t="s">
        <v>18</v>
      </c>
      <c r="H19" s="3" t="s">
        <v>21</v>
      </c>
      <c r="I19" s="3" t="s">
        <v>35</v>
      </c>
      <c r="J19" s="3"/>
      <c r="K19" cm="1">
        <f t="array" ref="K19">_xlfn.XLOOKUP(Family[[#This Row],[Father]],Family[[Name]:[Name]],Family[[PersonID]:[PersonID]],"",0)</f>
        <v>1</v>
      </c>
      <c r="L19" cm="1">
        <f t="array" ref="L19">_xlfn.XLOOKUP(Family[[#This Row],[Mother]],Family[[Name]:[Name]],Family[[PersonID]:[PersonID]],"",0)</f>
        <v>2</v>
      </c>
      <c r="M19" cm="1">
        <f t="array" ref="M19">_xlfn.XLOOKUP(Family[[#This Row],[Spouse]],Family[[Name]:[Name]],Family[[PersonID]:[PersonID]],"",0)</f>
        <v>15</v>
      </c>
      <c r="N19" t="str" cm="1">
        <f t="array" ref="N19">lambda_lifetimeage(Family[[#This Row],[BirthDate]],Family[[#This Row],[DeathDate]])</f>
        <v>49 years, 7 months, 1 days</v>
      </c>
      <c r="O19" t="str" cm="1">
        <f t="array" ref="O19">lambda_currentage(Family[[#This Row],[BirthDate]],Family[[#This Row],[DeathDate]],$B$3)</f>
        <v/>
      </c>
    </row>
    <row r="20" spans="1:15" x14ac:dyDescent="0.3">
      <c r="A20">
        <f>ROW()-ROW(Family[[#Headers],[PersonID]])</f>
        <v>15</v>
      </c>
      <c r="B20" s="3" t="s">
        <v>35</v>
      </c>
      <c r="C20" s="3"/>
      <c r="D20" s="3" t="s">
        <v>22</v>
      </c>
      <c r="E20" s="4"/>
      <c r="F20" s="4"/>
      <c r="G20" s="3" t="s">
        <v>20</v>
      </c>
      <c r="H20" s="3" t="s">
        <v>20</v>
      </c>
      <c r="I20" s="3" t="s">
        <v>34</v>
      </c>
      <c r="J20" s="3"/>
      <c r="K20" t="str" cm="1">
        <f t="array" ref="K20">_xlfn.XLOOKUP(Family[[#This Row],[Father]],Family[[Name]:[Name]],Family[[PersonID]:[PersonID]],"",0)</f>
        <v/>
      </c>
      <c r="L20" t="str" cm="1">
        <f t="array" ref="L20">_xlfn.XLOOKUP(Family[[#This Row],[Mother]],Family[[Name]:[Name]],Family[[PersonID]:[PersonID]],"",0)</f>
        <v/>
      </c>
      <c r="M20" cm="1">
        <f t="array" ref="M20">_xlfn.XLOOKUP(Family[[#This Row],[Spouse]],Family[[Name]:[Name]],Family[[PersonID]:[PersonID]],"",0)</f>
        <v>14</v>
      </c>
      <c r="N20" t="str" cm="1">
        <f t="array" ref="N20">lambda_lifetimeage(Family[[#This Row],[BirthDate]],Family[[#This Row],[DeathDate]])</f>
        <v/>
      </c>
      <c r="O20" t="str" cm="1">
        <f t="array" ref="O20">lambda_currentage(Family[[#This Row],[BirthDate]],Family[[#This Row],[DeathDate]],$B$3)</f>
        <v/>
      </c>
    </row>
    <row r="21" spans="1:15" x14ac:dyDescent="0.3">
      <c r="A21">
        <f>ROW()-ROW(Family[[#Headers],[PersonID]])</f>
        <v>16</v>
      </c>
      <c r="B21" s="3" t="s">
        <v>36</v>
      </c>
      <c r="C21" s="3"/>
      <c r="D21" s="3" t="s">
        <v>19</v>
      </c>
      <c r="E21" s="4">
        <v>19798</v>
      </c>
      <c r="F21" s="4"/>
      <c r="G21" s="3" t="s">
        <v>18</v>
      </c>
      <c r="H21" s="3" t="s">
        <v>21</v>
      </c>
      <c r="I21" s="3" t="s">
        <v>37</v>
      </c>
      <c r="J21" s="3"/>
      <c r="K21" cm="1">
        <f t="array" ref="K21">_xlfn.XLOOKUP(Family[[#This Row],[Father]],Family[[Name]:[Name]],Family[[PersonID]:[PersonID]],"",0)</f>
        <v>1</v>
      </c>
      <c r="L21" cm="1">
        <f t="array" ref="L21">_xlfn.XLOOKUP(Family[[#This Row],[Mother]],Family[[Name]:[Name]],Family[[PersonID]:[PersonID]],"",0)</f>
        <v>2</v>
      </c>
      <c r="M21" cm="1">
        <f t="array" ref="M21">_xlfn.XLOOKUP(Family[[#This Row],[Spouse]],Family[[Name]:[Name]],Family[[PersonID]:[PersonID]],"",0)</f>
        <v>17</v>
      </c>
      <c r="N21" t="str" cm="1">
        <f t="array" ref="N21">lambda_lifetimeage(Family[[#This Row],[BirthDate]],Family[[#This Row],[DeathDate]])</f>
        <v/>
      </c>
      <c r="O21" t="str" cm="1">
        <f t="array" aca="1" ref="O21" ca="1">lambda_currentage(Family[[#This Row],[BirthDate]],Family[[#This Row],[DeathDate]],$B$3)</f>
        <v>71 years, 11 months, 3 days</v>
      </c>
    </row>
    <row r="22" spans="1:15" x14ac:dyDescent="0.3">
      <c r="A22">
        <f>ROW()-ROW(Family[[#Headers],[PersonID]])</f>
        <v>17</v>
      </c>
      <c r="B22" s="3" t="s">
        <v>37</v>
      </c>
      <c r="C22" s="3"/>
      <c r="D22" s="3" t="s">
        <v>22</v>
      </c>
      <c r="E22" s="4"/>
      <c r="F22" s="4"/>
      <c r="G22" s="3" t="s">
        <v>20</v>
      </c>
      <c r="H22" s="3" t="s">
        <v>20</v>
      </c>
      <c r="I22" s="3" t="s">
        <v>36</v>
      </c>
      <c r="J22" s="3"/>
      <c r="K22" t="str" cm="1">
        <f t="array" ref="K22">_xlfn.XLOOKUP(Family[[#This Row],[Father]],Family[[Name]:[Name]],Family[[PersonID]:[PersonID]],"",0)</f>
        <v/>
      </c>
      <c r="L22" t="str" cm="1">
        <f t="array" ref="L22">_xlfn.XLOOKUP(Family[[#This Row],[Mother]],Family[[Name]:[Name]],Family[[PersonID]:[PersonID]],"",0)</f>
        <v/>
      </c>
      <c r="M22" cm="1">
        <f t="array" ref="M22">_xlfn.XLOOKUP(Family[[#This Row],[Spouse]],Family[[Name]:[Name]],Family[[PersonID]:[PersonID]],"",0)</f>
        <v>16</v>
      </c>
      <c r="N22" t="str" cm="1">
        <f t="array" ref="N22">lambda_lifetimeage(Family[[#This Row],[BirthDate]],Family[[#This Row],[DeathDate]])</f>
        <v/>
      </c>
      <c r="O22" t="str" cm="1">
        <f t="array" ref="O22">lambda_currentage(Family[[#This Row],[BirthDate]],Family[[#This Row],[DeathDate]],$B$3)</f>
        <v/>
      </c>
    </row>
    <row r="23" spans="1:15" x14ac:dyDescent="0.3">
      <c r="A23">
        <f>ROW()-ROW(Family[[#Headers],[PersonID]])</f>
        <v>18</v>
      </c>
      <c r="B23" s="3" t="s">
        <v>38</v>
      </c>
      <c r="C23" s="3"/>
      <c r="D23" s="3" t="s">
        <v>19</v>
      </c>
      <c r="E23" s="4"/>
      <c r="F23" s="4"/>
      <c r="G23" s="3" t="s">
        <v>20</v>
      </c>
      <c r="H23" s="3" t="s">
        <v>20</v>
      </c>
      <c r="I23" s="3" t="s">
        <v>39</v>
      </c>
      <c r="J23" s="3"/>
      <c r="K23" t="str" cm="1">
        <f t="array" ref="K23">_xlfn.XLOOKUP(Family[[#This Row],[Father]],Family[[Name]:[Name]],Family[[PersonID]:[PersonID]],"",0)</f>
        <v/>
      </c>
      <c r="L23" t="str" cm="1">
        <f t="array" ref="L23">_xlfn.XLOOKUP(Family[[#This Row],[Mother]],Family[[Name]:[Name]],Family[[PersonID]:[PersonID]],"",0)</f>
        <v/>
      </c>
      <c r="M23" cm="1">
        <f t="array" ref="M23">_xlfn.XLOOKUP(Family[[#This Row],[Spouse]],Family[[Name]:[Name]],Family[[PersonID]:[PersonID]],"",0)</f>
        <v>19</v>
      </c>
      <c r="N23" t="str" cm="1">
        <f t="array" ref="N23">lambda_lifetimeage(Family[[#This Row],[BirthDate]],Family[[#This Row],[DeathDate]])</f>
        <v/>
      </c>
      <c r="O23" t="str" cm="1">
        <f t="array" ref="O23">lambda_currentage(Family[[#This Row],[BirthDate]],Family[[#This Row],[DeathDate]],$B$3)</f>
        <v/>
      </c>
    </row>
    <row r="24" spans="1:15" x14ac:dyDescent="0.3">
      <c r="A24">
        <f>ROW()-ROW(Family[[#Headers],[PersonID]])</f>
        <v>19</v>
      </c>
      <c r="B24" s="3" t="s">
        <v>39</v>
      </c>
      <c r="C24" s="3"/>
      <c r="D24" s="3" t="s">
        <v>22</v>
      </c>
      <c r="E24" s="4">
        <v>20712</v>
      </c>
      <c r="F24" s="4"/>
      <c r="G24" s="3" t="s">
        <v>18</v>
      </c>
      <c r="H24" s="3" t="s">
        <v>21</v>
      </c>
      <c r="I24" s="3" t="s">
        <v>38</v>
      </c>
      <c r="J24" s="3"/>
      <c r="K24" cm="1">
        <f t="array" ref="K24">_xlfn.XLOOKUP(Family[[#This Row],[Father]],Family[[Name]:[Name]],Family[[PersonID]:[PersonID]],"",0)</f>
        <v>1</v>
      </c>
      <c r="L24" cm="1">
        <f t="array" ref="L24">_xlfn.XLOOKUP(Family[[#This Row],[Mother]],Family[[Name]:[Name]],Family[[PersonID]:[PersonID]],"",0)</f>
        <v>2</v>
      </c>
      <c r="M24" cm="1">
        <f t="array" ref="M24">_xlfn.XLOOKUP(Family[[#This Row],[Spouse]],Family[[Name]:[Name]],Family[[PersonID]:[PersonID]],"",0)</f>
        <v>18</v>
      </c>
      <c r="N24" t="str" cm="1">
        <f t="array" ref="N24">lambda_lifetimeage(Family[[#This Row],[BirthDate]],Family[[#This Row],[DeathDate]])</f>
        <v/>
      </c>
      <c r="O24" t="str" cm="1">
        <f t="array" aca="1" ref="O24" ca="1">lambda_currentage(Family[[#This Row],[BirthDate]],Family[[#This Row],[DeathDate]],$B$3)</f>
        <v>69 years, 5 months, 4 days</v>
      </c>
    </row>
    <row r="25" spans="1:15" x14ac:dyDescent="0.3">
      <c r="A25">
        <f>ROW()-ROW(Family[[#Headers],[PersonID]])</f>
        <v>20</v>
      </c>
      <c r="B25" s="3" t="s">
        <v>40</v>
      </c>
      <c r="C25" s="3"/>
      <c r="D25" s="3" t="s">
        <v>22</v>
      </c>
      <c r="E25" s="4"/>
      <c r="F25" s="4"/>
      <c r="G25" s="3" t="s">
        <v>24</v>
      </c>
      <c r="H25" s="3" t="s">
        <v>25</v>
      </c>
      <c r="I25" s="3" t="s">
        <v>20</v>
      </c>
      <c r="J25" s="3"/>
      <c r="K25" cm="1">
        <f t="array" ref="K25">_xlfn.XLOOKUP(Family[[#This Row],[Father]],Family[[Name]:[Name]],Family[[PersonID]:[PersonID]],"",0)</f>
        <v>4</v>
      </c>
      <c r="L25" cm="1">
        <f t="array" ref="L25">_xlfn.XLOOKUP(Family[[#This Row],[Mother]],Family[[Name]:[Name]],Family[[PersonID]:[PersonID]],"",0)</f>
        <v>5</v>
      </c>
      <c r="M25" t="str" cm="1">
        <f t="array" ref="M25">_xlfn.XLOOKUP(Family[[#This Row],[Spouse]],Family[[Name]:[Name]],Family[[PersonID]:[PersonID]],"",0)</f>
        <v/>
      </c>
      <c r="N25" t="str" cm="1">
        <f t="array" ref="N25">lambda_lifetimeage(Family[[#This Row],[BirthDate]],Family[[#This Row],[DeathDate]])</f>
        <v/>
      </c>
      <c r="O25" t="str" cm="1">
        <f t="array" ref="O25">lambda_currentage(Family[[#This Row],[BirthDate]],Family[[#This Row],[DeathDate]],$B$3)</f>
        <v/>
      </c>
    </row>
    <row r="26" spans="1:15" x14ac:dyDescent="0.3">
      <c r="A26">
        <f>ROW()-ROW(Family[[#Headers],[PersonID]])</f>
        <v>21</v>
      </c>
      <c r="B26" s="3" t="s">
        <v>41</v>
      </c>
      <c r="C26" s="3"/>
      <c r="D26" s="3" t="s">
        <v>22</v>
      </c>
      <c r="E26" s="4"/>
      <c r="F26" s="4"/>
      <c r="G26" s="3" t="s">
        <v>24</v>
      </c>
      <c r="H26" s="3" t="s">
        <v>25</v>
      </c>
      <c r="I26" s="3" t="s">
        <v>20</v>
      </c>
      <c r="J26" s="3"/>
      <c r="K26" cm="1">
        <f t="array" ref="K26">_xlfn.XLOOKUP(Family[[#This Row],[Father]],Family[[Name]:[Name]],Family[[PersonID]:[PersonID]],"",0)</f>
        <v>4</v>
      </c>
      <c r="L26" cm="1">
        <f t="array" ref="L26">_xlfn.XLOOKUP(Family[[#This Row],[Mother]],Family[[Name]:[Name]],Family[[PersonID]:[PersonID]],"",0)</f>
        <v>5</v>
      </c>
      <c r="M26" t="str" cm="1">
        <f t="array" ref="M26">_xlfn.XLOOKUP(Family[[#This Row],[Spouse]],Family[[Name]:[Name]],Family[[PersonID]:[PersonID]],"",0)</f>
        <v/>
      </c>
      <c r="N26" t="str" cm="1">
        <f t="array" ref="N26">lambda_lifetimeage(Family[[#This Row],[BirthDate]],Family[[#This Row],[DeathDate]])</f>
        <v/>
      </c>
      <c r="O26" t="str" cm="1">
        <f t="array" ref="O26">lambda_currentage(Family[[#This Row],[BirthDate]],Family[[#This Row],[DeathDate]],$B$3)</f>
        <v/>
      </c>
    </row>
    <row r="27" spans="1:15" x14ac:dyDescent="0.3">
      <c r="A27">
        <f>ROW()-ROW(Family[[#Headers],[PersonID]])</f>
        <v>22</v>
      </c>
      <c r="B27" s="3" t="s">
        <v>42</v>
      </c>
      <c r="C27" s="3"/>
      <c r="D27" s="3" t="s">
        <v>19</v>
      </c>
      <c r="E27" s="4"/>
      <c r="F27" s="4"/>
      <c r="G27" s="3" t="s">
        <v>26</v>
      </c>
      <c r="H27" s="3" t="s">
        <v>27</v>
      </c>
      <c r="I27" s="3" t="s">
        <v>43</v>
      </c>
      <c r="J27" s="3"/>
      <c r="K27" cm="1">
        <f t="array" ref="K27">_xlfn.XLOOKUP(Family[[#This Row],[Father]],Family[[Name]:[Name]],Family[[PersonID]:[PersonID]],"",0)</f>
        <v>6</v>
      </c>
      <c r="L27" cm="1">
        <f t="array" ref="L27">_xlfn.XLOOKUP(Family[[#This Row],[Mother]],Family[[Name]:[Name]],Family[[PersonID]:[PersonID]],"",0)</f>
        <v>7</v>
      </c>
      <c r="M27" cm="1">
        <f t="array" ref="M27">_xlfn.XLOOKUP(Family[[#This Row],[Spouse]],Family[[Name]:[Name]],Family[[PersonID]:[PersonID]],"",0)</f>
        <v>23</v>
      </c>
      <c r="N27" t="str" cm="1">
        <f t="array" ref="N27">lambda_lifetimeage(Family[[#This Row],[BirthDate]],Family[[#This Row],[DeathDate]])</f>
        <v/>
      </c>
      <c r="O27" t="str" cm="1">
        <f t="array" ref="O27">lambda_currentage(Family[[#This Row],[BirthDate]],Family[[#This Row],[DeathDate]],$B$3)</f>
        <v/>
      </c>
    </row>
    <row r="28" spans="1:15" x14ac:dyDescent="0.3">
      <c r="A28">
        <f>ROW()-ROW(Family[[#Headers],[PersonID]])</f>
        <v>23</v>
      </c>
      <c r="B28" s="3" t="s">
        <v>43</v>
      </c>
      <c r="C28" s="3"/>
      <c r="D28" s="3" t="s">
        <v>22</v>
      </c>
      <c r="E28" s="4"/>
      <c r="F28" s="4"/>
      <c r="G28" s="3" t="s">
        <v>20</v>
      </c>
      <c r="H28" s="3" t="s">
        <v>20</v>
      </c>
      <c r="I28" s="3" t="s">
        <v>42</v>
      </c>
      <c r="J28" s="3"/>
      <c r="K28" t="str" cm="1">
        <f t="array" ref="K28">_xlfn.XLOOKUP(Family[[#This Row],[Father]],Family[[Name]:[Name]],Family[[PersonID]:[PersonID]],"",0)</f>
        <v/>
      </c>
      <c r="L28" t="str" cm="1">
        <f t="array" ref="L28">_xlfn.XLOOKUP(Family[[#This Row],[Mother]],Family[[Name]:[Name]],Family[[PersonID]:[PersonID]],"",0)</f>
        <v/>
      </c>
      <c r="M28" cm="1">
        <f t="array" ref="M28">_xlfn.XLOOKUP(Family[[#This Row],[Spouse]],Family[[Name]:[Name]],Family[[PersonID]:[PersonID]],"",0)</f>
        <v>22</v>
      </c>
      <c r="N28" t="str" cm="1">
        <f t="array" ref="N28">lambda_lifetimeage(Family[[#This Row],[BirthDate]],Family[[#This Row],[DeathDate]])</f>
        <v/>
      </c>
      <c r="O28" t="str" cm="1">
        <f t="array" ref="O28">lambda_currentage(Family[[#This Row],[BirthDate]],Family[[#This Row],[DeathDate]],$B$3)</f>
        <v/>
      </c>
    </row>
    <row r="29" spans="1:15" x14ac:dyDescent="0.3">
      <c r="A29">
        <f>ROW()-ROW(Family[[#Headers],[PersonID]])</f>
        <v>24</v>
      </c>
      <c r="B29" s="3" t="s">
        <v>44</v>
      </c>
      <c r="C29" s="3"/>
      <c r="D29" s="3" t="s">
        <v>19</v>
      </c>
      <c r="E29" s="4"/>
      <c r="F29" s="4"/>
      <c r="G29" s="3" t="s">
        <v>26</v>
      </c>
      <c r="H29" s="3" t="s">
        <v>27</v>
      </c>
      <c r="I29" s="3" t="s">
        <v>45</v>
      </c>
      <c r="J29" s="3"/>
      <c r="K29" cm="1">
        <f t="array" ref="K29">_xlfn.XLOOKUP(Family[[#This Row],[Father]],Family[[Name]:[Name]],Family[[PersonID]:[PersonID]],"",0)</f>
        <v>6</v>
      </c>
      <c r="L29" cm="1">
        <f t="array" ref="L29">_xlfn.XLOOKUP(Family[[#This Row],[Mother]],Family[[Name]:[Name]],Family[[PersonID]:[PersonID]],"",0)</f>
        <v>7</v>
      </c>
      <c r="M29" cm="1">
        <f t="array" ref="M29">_xlfn.XLOOKUP(Family[[#This Row],[Spouse]],Family[[Name]:[Name]],Family[[PersonID]:[PersonID]],"",0)</f>
        <v>25</v>
      </c>
      <c r="N29" t="str" cm="1">
        <f t="array" ref="N29">lambda_lifetimeage(Family[[#This Row],[BirthDate]],Family[[#This Row],[DeathDate]])</f>
        <v/>
      </c>
      <c r="O29" t="str" cm="1">
        <f t="array" ref="O29">lambda_currentage(Family[[#This Row],[BirthDate]],Family[[#This Row],[DeathDate]],$B$3)</f>
        <v/>
      </c>
    </row>
    <row r="30" spans="1:15" x14ac:dyDescent="0.3">
      <c r="A30">
        <f>ROW()-ROW(Family[[#Headers],[PersonID]])</f>
        <v>25</v>
      </c>
      <c r="B30" s="3" t="s">
        <v>45</v>
      </c>
      <c r="C30" s="3"/>
      <c r="D30" s="3" t="s">
        <v>22</v>
      </c>
      <c r="E30" s="4"/>
      <c r="F30" s="4"/>
      <c r="G30" s="3" t="s">
        <v>20</v>
      </c>
      <c r="H30" s="3" t="s">
        <v>20</v>
      </c>
      <c r="I30" s="3" t="s">
        <v>44</v>
      </c>
      <c r="J30" s="3"/>
      <c r="K30" t="str" cm="1">
        <f t="array" ref="K30">_xlfn.XLOOKUP(Family[[#This Row],[Father]],Family[[Name]:[Name]],Family[[PersonID]:[PersonID]],"",0)</f>
        <v/>
      </c>
      <c r="L30" t="str" cm="1">
        <f t="array" ref="L30">_xlfn.XLOOKUP(Family[[#This Row],[Mother]],Family[[Name]:[Name]],Family[[PersonID]:[PersonID]],"",0)</f>
        <v/>
      </c>
      <c r="M30" cm="1">
        <f t="array" ref="M30">_xlfn.XLOOKUP(Family[[#This Row],[Spouse]],Family[[Name]:[Name]],Family[[PersonID]:[PersonID]],"",0)</f>
        <v>24</v>
      </c>
      <c r="N30" t="str" cm="1">
        <f t="array" ref="N30">lambda_lifetimeage(Family[[#This Row],[BirthDate]],Family[[#This Row],[DeathDate]])</f>
        <v/>
      </c>
      <c r="O30" t="str" cm="1">
        <f t="array" ref="O30">lambda_currentage(Family[[#This Row],[BirthDate]],Family[[#This Row],[DeathDate]],$B$3)</f>
        <v/>
      </c>
    </row>
    <row r="31" spans="1:15" x14ac:dyDescent="0.3">
      <c r="A31">
        <f>ROW()-ROW(Family[[#Headers],[PersonID]])</f>
        <v>26</v>
      </c>
      <c r="B31" s="3" t="s">
        <v>46</v>
      </c>
      <c r="C31" s="3"/>
      <c r="D31" s="3" t="s">
        <v>19</v>
      </c>
      <c r="E31" s="4"/>
      <c r="F31" s="4"/>
      <c r="G31" s="3" t="s">
        <v>26</v>
      </c>
      <c r="H31" s="3" t="s">
        <v>27</v>
      </c>
      <c r="I31" s="3" t="s">
        <v>47</v>
      </c>
      <c r="J31" s="3"/>
      <c r="K31" cm="1">
        <f t="array" ref="K31">_xlfn.XLOOKUP(Family[[#This Row],[Father]],Family[[Name]:[Name]],Family[[PersonID]:[PersonID]],"",0)</f>
        <v>6</v>
      </c>
      <c r="L31" cm="1">
        <f t="array" ref="L31">_xlfn.XLOOKUP(Family[[#This Row],[Mother]],Family[[Name]:[Name]],Family[[PersonID]:[PersonID]],"",0)</f>
        <v>7</v>
      </c>
      <c r="M31" cm="1">
        <f t="array" ref="M31">_xlfn.XLOOKUP(Family[[#This Row],[Spouse]],Family[[Name]:[Name]],Family[[PersonID]:[PersonID]],"",0)</f>
        <v>27</v>
      </c>
      <c r="N31" t="str" cm="1">
        <f t="array" ref="N31">lambda_lifetimeage(Family[[#This Row],[BirthDate]],Family[[#This Row],[DeathDate]])</f>
        <v/>
      </c>
      <c r="O31" t="str" cm="1">
        <f t="array" ref="O31">lambda_currentage(Family[[#This Row],[BirthDate]],Family[[#This Row],[DeathDate]],$B$3)</f>
        <v/>
      </c>
    </row>
    <row r="32" spans="1:15" x14ac:dyDescent="0.3">
      <c r="A32">
        <f>ROW()-ROW(Family[[#Headers],[PersonID]])</f>
        <v>27</v>
      </c>
      <c r="B32" s="3" t="s">
        <v>47</v>
      </c>
      <c r="C32" s="3"/>
      <c r="D32" s="3" t="s">
        <v>22</v>
      </c>
      <c r="E32" s="4"/>
      <c r="F32" s="4"/>
      <c r="G32" s="3" t="s">
        <v>20</v>
      </c>
      <c r="H32" s="3" t="s">
        <v>20</v>
      </c>
      <c r="I32" s="3" t="s">
        <v>46</v>
      </c>
      <c r="J32" s="3"/>
      <c r="K32" t="str" cm="1">
        <f t="array" ref="K32">_xlfn.XLOOKUP(Family[[#This Row],[Father]],Family[[Name]:[Name]],Family[[PersonID]:[PersonID]],"",0)</f>
        <v/>
      </c>
      <c r="L32" t="str" cm="1">
        <f t="array" ref="L32">_xlfn.XLOOKUP(Family[[#This Row],[Mother]],Family[[Name]:[Name]],Family[[PersonID]:[PersonID]],"",0)</f>
        <v/>
      </c>
      <c r="M32" cm="1">
        <f t="array" ref="M32">_xlfn.XLOOKUP(Family[[#This Row],[Spouse]],Family[[Name]:[Name]],Family[[PersonID]:[PersonID]],"",0)</f>
        <v>26</v>
      </c>
      <c r="N32" t="str" cm="1">
        <f t="array" ref="N32">lambda_lifetimeage(Family[[#This Row],[BirthDate]],Family[[#This Row],[DeathDate]])</f>
        <v/>
      </c>
      <c r="O32" t="str" cm="1">
        <f t="array" ref="O32">lambda_currentage(Family[[#This Row],[BirthDate]],Family[[#This Row],[DeathDate]],$B$3)</f>
        <v/>
      </c>
    </row>
    <row r="33" spans="1:15" x14ac:dyDescent="0.3">
      <c r="A33">
        <f>ROW()-ROW(Family[[#Headers],[PersonID]])</f>
        <v>28</v>
      </c>
      <c r="B33" s="3" t="s">
        <v>48</v>
      </c>
      <c r="C33" s="3"/>
      <c r="D33" s="3" t="s">
        <v>19</v>
      </c>
      <c r="E33" s="4"/>
      <c r="F33" s="4"/>
      <c r="G33" s="3" t="s">
        <v>28</v>
      </c>
      <c r="H33" s="3" t="s">
        <v>29</v>
      </c>
      <c r="I33" s="3" t="s">
        <v>49</v>
      </c>
      <c r="J33" s="3"/>
      <c r="K33" cm="1">
        <f t="array" ref="K33">_xlfn.XLOOKUP(Family[[#This Row],[Father]],Family[[Name]:[Name]],Family[[PersonID]:[PersonID]],"",0)</f>
        <v>8</v>
      </c>
      <c r="L33" cm="1">
        <f t="array" ref="L33">_xlfn.XLOOKUP(Family[[#This Row],[Mother]],Family[[Name]:[Name]],Family[[PersonID]:[PersonID]],"",0)</f>
        <v>9</v>
      </c>
      <c r="M33" cm="1">
        <f t="array" ref="M33">_xlfn.XLOOKUP(Family[[#This Row],[Spouse]],Family[[Name]:[Name]],Family[[PersonID]:[PersonID]],"",0)</f>
        <v>29</v>
      </c>
      <c r="N33" t="str" cm="1">
        <f t="array" ref="N33">lambda_lifetimeage(Family[[#This Row],[BirthDate]],Family[[#This Row],[DeathDate]])</f>
        <v/>
      </c>
      <c r="O33" t="str" cm="1">
        <f t="array" ref="O33">lambda_currentage(Family[[#This Row],[BirthDate]],Family[[#This Row],[DeathDate]],$B$3)</f>
        <v/>
      </c>
    </row>
    <row r="34" spans="1:15" x14ac:dyDescent="0.3">
      <c r="A34">
        <f>ROW()-ROW(Family[[#Headers],[PersonID]])</f>
        <v>29</v>
      </c>
      <c r="B34" s="3" t="s">
        <v>49</v>
      </c>
      <c r="C34" s="3"/>
      <c r="D34" s="3" t="s">
        <v>22</v>
      </c>
      <c r="E34" s="4"/>
      <c r="F34" s="4"/>
      <c r="G34" s="3" t="s">
        <v>20</v>
      </c>
      <c r="H34" s="3" t="s">
        <v>20</v>
      </c>
      <c r="I34" s="3" t="s">
        <v>48</v>
      </c>
      <c r="J34" s="3"/>
      <c r="K34" t="str" cm="1">
        <f t="array" ref="K34">_xlfn.XLOOKUP(Family[[#This Row],[Father]],Family[[Name]:[Name]],Family[[PersonID]:[PersonID]],"",0)</f>
        <v/>
      </c>
      <c r="L34" t="str" cm="1">
        <f t="array" ref="L34">_xlfn.XLOOKUP(Family[[#This Row],[Mother]],Family[[Name]:[Name]],Family[[PersonID]:[PersonID]],"",0)</f>
        <v/>
      </c>
      <c r="M34" cm="1">
        <f t="array" ref="M34">_xlfn.XLOOKUP(Family[[#This Row],[Spouse]],Family[[Name]:[Name]],Family[[PersonID]:[PersonID]],"",0)</f>
        <v>28</v>
      </c>
      <c r="N34" t="str" cm="1">
        <f t="array" ref="N34">lambda_lifetimeage(Family[[#This Row],[BirthDate]],Family[[#This Row],[DeathDate]])</f>
        <v/>
      </c>
      <c r="O34" t="str" cm="1">
        <f t="array" ref="O34">lambda_currentage(Family[[#This Row],[BirthDate]],Family[[#This Row],[DeathDate]],$B$3)</f>
        <v/>
      </c>
    </row>
    <row r="35" spans="1:15" x14ac:dyDescent="0.3">
      <c r="A35">
        <f>ROW()-ROW(Family[[#Headers],[PersonID]])</f>
        <v>30</v>
      </c>
      <c r="B35" s="3" t="s">
        <v>50</v>
      </c>
      <c r="C35" s="3"/>
      <c r="D35" s="3" t="s">
        <v>19</v>
      </c>
      <c r="E35" s="4"/>
      <c r="F35" s="4"/>
      <c r="G35" s="3" t="s">
        <v>28</v>
      </c>
      <c r="H35" s="3" t="s">
        <v>29</v>
      </c>
      <c r="I35" s="3" t="s">
        <v>51</v>
      </c>
      <c r="J35" s="3"/>
      <c r="K35" cm="1">
        <f t="array" ref="K35">_xlfn.XLOOKUP(Family[[#This Row],[Father]],Family[[Name]:[Name]],Family[[PersonID]:[PersonID]],"",0)</f>
        <v>8</v>
      </c>
      <c r="L35" cm="1">
        <f t="array" ref="L35">_xlfn.XLOOKUP(Family[[#This Row],[Mother]],Family[[Name]:[Name]],Family[[PersonID]:[PersonID]],"",0)</f>
        <v>9</v>
      </c>
      <c r="M35" cm="1">
        <f t="array" ref="M35">_xlfn.XLOOKUP(Family[[#This Row],[Spouse]],Family[[Name]:[Name]],Family[[PersonID]:[PersonID]],"",0)</f>
        <v>31</v>
      </c>
      <c r="N35" t="str" cm="1">
        <f t="array" ref="N35">lambda_lifetimeage(Family[[#This Row],[BirthDate]],Family[[#This Row],[DeathDate]])</f>
        <v/>
      </c>
      <c r="O35" t="str" cm="1">
        <f t="array" ref="O35">lambda_currentage(Family[[#This Row],[BirthDate]],Family[[#This Row],[DeathDate]],$B$3)</f>
        <v/>
      </c>
    </row>
    <row r="36" spans="1:15" x14ac:dyDescent="0.3">
      <c r="A36">
        <f>ROW()-ROW(Family[[#Headers],[PersonID]])</f>
        <v>31</v>
      </c>
      <c r="B36" s="3" t="s">
        <v>51</v>
      </c>
      <c r="C36" s="3"/>
      <c r="D36" s="3" t="s">
        <v>22</v>
      </c>
      <c r="E36" s="4"/>
      <c r="F36" s="4"/>
      <c r="G36" s="3" t="s">
        <v>20</v>
      </c>
      <c r="H36" s="3" t="s">
        <v>20</v>
      </c>
      <c r="I36" s="3" t="s">
        <v>50</v>
      </c>
      <c r="J36" s="3"/>
      <c r="K36" t="str" cm="1">
        <f t="array" ref="K36">_xlfn.XLOOKUP(Family[[#This Row],[Father]],Family[[Name]:[Name]],Family[[PersonID]:[PersonID]],"",0)</f>
        <v/>
      </c>
      <c r="L36" t="str" cm="1">
        <f t="array" ref="L36">_xlfn.XLOOKUP(Family[[#This Row],[Mother]],Family[[Name]:[Name]],Family[[PersonID]:[PersonID]],"",0)</f>
        <v/>
      </c>
      <c r="M36" cm="1">
        <f t="array" ref="M36">_xlfn.XLOOKUP(Family[[#This Row],[Spouse]],Family[[Name]:[Name]],Family[[PersonID]:[PersonID]],"",0)</f>
        <v>30</v>
      </c>
      <c r="N36" t="str" cm="1">
        <f t="array" ref="N36">lambda_lifetimeage(Family[[#This Row],[BirthDate]],Family[[#This Row],[DeathDate]])</f>
        <v/>
      </c>
      <c r="O36" t="str" cm="1">
        <f t="array" ref="O36">lambda_currentage(Family[[#This Row],[BirthDate]],Family[[#This Row],[DeathDate]],$B$3)</f>
        <v/>
      </c>
    </row>
    <row r="37" spans="1:15" x14ac:dyDescent="0.3">
      <c r="A37">
        <f>ROW()-ROW(Family[[#Headers],[PersonID]])</f>
        <v>32</v>
      </c>
      <c r="B37" s="3" t="s">
        <v>52</v>
      </c>
      <c r="C37" s="3"/>
      <c r="D37" s="3" t="s">
        <v>19</v>
      </c>
      <c r="E37" s="4"/>
      <c r="F37" s="4"/>
      <c r="G37" s="3" t="s">
        <v>30</v>
      </c>
      <c r="H37" s="3" t="s">
        <v>31</v>
      </c>
      <c r="I37" s="3" t="s">
        <v>53</v>
      </c>
      <c r="J37" s="3"/>
      <c r="K37" cm="1">
        <f t="array" ref="K37">_xlfn.XLOOKUP(Family[[#This Row],[Father]],Family[[Name]:[Name]],Family[[PersonID]:[PersonID]],"",0)</f>
        <v>10</v>
      </c>
      <c r="L37" cm="1">
        <f t="array" ref="L37">_xlfn.XLOOKUP(Family[[#This Row],[Mother]],Family[[Name]:[Name]],Family[[PersonID]:[PersonID]],"",0)</f>
        <v>11</v>
      </c>
      <c r="M37" cm="1">
        <f t="array" ref="M37">_xlfn.XLOOKUP(Family[[#This Row],[Spouse]],Family[[Name]:[Name]],Family[[PersonID]:[PersonID]],"",0)</f>
        <v>33</v>
      </c>
      <c r="N37" t="str" cm="1">
        <f t="array" ref="N37">lambda_lifetimeage(Family[[#This Row],[BirthDate]],Family[[#This Row],[DeathDate]])</f>
        <v/>
      </c>
      <c r="O37" t="str" cm="1">
        <f t="array" ref="O37">lambda_currentage(Family[[#This Row],[BirthDate]],Family[[#This Row],[DeathDate]],$B$3)</f>
        <v/>
      </c>
    </row>
    <row r="38" spans="1:15" x14ac:dyDescent="0.3">
      <c r="A38">
        <f>ROW()-ROW(Family[[#Headers],[PersonID]])</f>
        <v>33</v>
      </c>
      <c r="B38" s="3" t="s">
        <v>53</v>
      </c>
      <c r="C38" s="3"/>
      <c r="D38" s="3" t="s">
        <v>22</v>
      </c>
      <c r="E38" s="4"/>
      <c r="F38" s="4"/>
      <c r="G38" s="3" t="s">
        <v>20</v>
      </c>
      <c r="H38" s="3" t="s">
        <v>20</v>
      </c>
      <c r="I38" s="3" t="s">
        <v>52</v>
      </c>
      <c r="J38" s="3"/>
      <c r="K38" t="str" cm="1">
        <f t="array" ref="K38">_xlfn.XLOOKUP(Family[[#This Row],[Father]],Family[[Name]:[Name]],Family[[PersonID]:[PersonID]],"",0)</f>
        <v/>
      </c>
      <c r="L38" t="str" cm="1">
        <f t="array" ref="L38">_xlfn.XLOOKUP(Family[[#This Row],[Mother]],Family[[Name]:[Name]],Family[[PersonID]:[PersonID]],"",0)</f>
        <v/>
      </c>
      <c r="M38" cm="1">
        <f t="array" ref="M38">_xlfn.XLOOKUP(Family[[#This Row],[Spouse]],Family[[Name]:[Name]],Family[[PersonID]:[PersonID]],"",0)</f>
        <v>32</v>
      </c>
      <c r="N38" t="str" cm="1">
        <f t="array" ref="N38">lambda_lifetimeage(Family[[#This Row],[BirthDate]],Family[[#This Row],[DeathDate]])</f>
        <v/>
      </c>
      <c r="O38" t="str" cm="1">
        <f t="array" ref="O38">lambda_currentage(Family[[#This Row],[BirthDate]],Family[[#This Row],[DeathDate]],$B$3)</f>
        <v/>
      </c>
    </row>
    <row r="39" spans="1:15" x14ac:dyDescent="0.3">
      <c r="A39">
        <f>ROW()-ROW(Family[[#Headers],[PersonID]])</f>
        <v>34</v>
      </c>
      <c r="B39" s="3" t="s">
        <v>54</v>
      </c>
      <c r="C39" s="3"/>
      <c r="D39" s="3" t="s">
        <v>19</v>
      </c>
      <c r="E39" s="4"/>
      <c r="F39" s="4"/>
      <c r="G39" s="3" t="s">
        <v>30</v>
      </c>
      <c r="H39" s="3" t="s">
        <v>31</v>
      </c>
      <c r="I39" s="3" t="s">
        <v>99</v>
      </c>
      <c r="J39" s="3"/>
      <c r="K39" cm="1">
        <f t="array" ref="K39">_xlfn.XLOOKUP(Family[[#This Row],[Father]],Family[[Name]:[Name]],Family[[PersonID]:[PersonID]],"",0)</f>
        <v>10</v>
      </c>
      <c r="L39" cm="1">
        <f t="array" ref="L39">_xlfn.XLOOKUP(Family[[#This Row],[Mother]],Family[[Name]:[Name]],Family[[PersonID]:[PersonID]],"",0)</f>
        <v>11</v>
      </c>
      <c r="M39" cm="1">
        <f t="array" ref="M39">_xlfn.XLOOKUP(Family[[#This Row],[Spouse]],Family[[Name]:[Name]],Family[[PersonID]:[PersonID]],"",0)</f>
        <v>35</v>
      </c>
      <c r="N39" t="str" cm="1">
        <f t="array" ref="N39">lambda_lifetimeage(Family[[#This Row],[BirthDate]],Family[[#This Row],[DeathDate]])</f>
        <v/>
      </c>
      <c r="O39" t="str" cm="1">
        <f t="array" ref="O39">lambda_currentage(Family[[#This Row],[BirthDate]],Family[[#This Row],[DeathDate]],$B$3)</f>
        <v/>
      </c>
    </row>
    <row r="40" spans="1:15" x14ac:dyDescent="0.3">
      <c r="A40">
        <f>ROW()-ROW(Family[[#Headers],[PersonID]])</f>
        <v>35</v>
      </c>
      <c r="B40" s="3" t="s">
        <v>99</v>
      </c>
      <c r="C40" s="3"/>
      <c r="D40" s="3" t="s">
        <v>22</v>
      </c>
      <c r="E40" s="4"/>
      <c r="F40" s="4"/>
      <c r="G40" s="4"/>
      <c r="H40" s="4"/>
      <c r="I40" s="4" t="s">
        <v>54</v>
      </c>
      <c r="J40" s="3"/>
      <c r="K40" t="str" cm="1">
        <f t="array" ref="K40">_xlfn.XLOOKUP(Family[[#This Row],[Father]],Family[[Name]:[Name]],Family[[PersonID]:[PersonID]],"",0)</f>
        <v/>
      </c>
      <c r="L40" t="str" cm="1">
        <f t="array" ref="L40">_xlfn.XLOOKUP(Family[[#This Row],[Mother]],Family[[Name]:[Name]],Family[[PersonID]:[PersonID]],"",0)</f>
        <v/>
      </c>
      <c r="M40" cm="1">
        <f t="array" ref="M40">_xlfn.XLOOKUP(Family[[#This Row],[Spouse]],Family[[Name]:[Name]],Family[[PersonID]:[PersonID]],"",0)</f>
        <v>34</v>
      </c>
      <c r="N40" t="str" cm="1">
        <f t="array" ref="N40">lambda_lifetimeage(Family[[#This Row],[BirthDate]],Family[[#This Row],[DeathDate]])</f>
        <v/>
      </c>
      <c r="O40" t="str" cm="1">
        <f t="array" ref="O40">lambda_currentage(Family[[#This Row],[BirthDate]],Family[[#This Row],[DeathDate]],$B$3)</f>
        <v/>
      </c>
    </row>
    <row r="41" spans="1:15" x14ac:dyDescent="0.3">
      <c r="A41">
        <f>ROW()-ROW(Family[[#Headers],[PersonID]])</f>
        <v>36</v>
      </c>
      <c r="B41" s="3" t="s">
        <v>55</v>
      </c>
      <c r="C41" s="3"/>
      <c r="D41" s="3" t="s">
        <v>19</v>
      </c>
      <c r="E41" s="4"/>
      <c r="F41" s="4"/>
      <c r="G41" s="3" t="s">
        <v>30</v>
      </c>
      <c r="H41" s="3" t="s">
        <v>31</v>
      </c>
      <c r="I41" s="3" t="s">
        <v>20</v>
      </c>
      <c r="J41" s="3"/>
      <c r="K41" cm="1">
        <f t="array" ref="K41">_xlfn.XLOOKUP(Family[[#This Row],[Father]],Family[[Name]:[Name]],Family[[PersonID]:[PersonID]],"",0)</f>
        <v>10</v>
      </c>
      <c r="L41" cm="1">
        <f t="array" ref="L41">_xlfn.XLOOKUP(Family[[#This Row],[Mother]],Family[[Name]:[Name]],Family[[PersonID]:[PersonID]],"",0)</f>
        <v>11</v>
      </c>
      <c r="M41" t="str" cm="1">
        <f t="array" ref="M41">_xlfn.XLOOKUP(Family[[#This Row],[Spouse]],Family[[Name]:[Name]],Family[[PersonID]:[PersonID]],"",0)</f>
        <v/>
      </c>
      <c r="N41" t="str" cm="1">
        <f t="array" ref="N41">lambda_lifetimeage(Family[[#This Row],[BirthDate]],Family[[#This Row],[DeathDate]])</f>
        <v/>
      </c>
      <c r="O41" t="str" cm="1">
        <f t="array" ref="O41">lambda_currentage(Family[[#This Row],[BirthDate]],Family[[#This Row],[DeathDate]],$B$3)</f>
        <v/>
      </c>
    </row>
    <row r="42" spans="1:15" x14ac:dyDescent="0.3">
      <c r="A42">
        <f>ROW()-ROW(Family[[#Headers],[PersonID]])</f>
        <v>37</v>
      </c>
      <c r="B42" s="3" t="s">
        <v>56</v>
      </c>
      <c r="C42" s="3"/>
      <c r="D42" s="3" t="s">
        <v>19</v>
      </c>
      <c r="E42" s="4"/>
      <c r="F42" s="4"/>
      <c r="G42" s="3" t="s">
        <v>30</v>
      </c>
      <c r="H42" s="3" t="s">
        <v>31</v>
      </c>
      <c r="I42" s="3" t="s">
        <v>20</v>
      </c>
      <c r="J42" s="3"/>
      <c r="K42" cm="1">
        <f t="array" ref="K42">_xlfn.XLOOKUP(Family[[#This Row],[Father]],Family[[Name]:[Name]],Family[[PersonID]:[PersonID]],"",0)</f>
        <v>10</v>
      </c>
      <c r="L42" cm="1">
        <f t="array" ref="L42">_xlfn.XLOOKUP(Family[[#This Row],[Mother]],Family[[Name]:[Name]],Family[[PersonID]:[PersonID]],"",0)</f>
        <v>11</v>
      </c>
      <c r="M42" t="str" cm="1">
        <f t="array" ref="M42">_xlfn.XLOOKUP(Family[[#This Row],[Spouse]],Family[[Name]:[Name]],Family[[PersonID]:[PersonID]],"",0)</f>
        <v/>
      </c>
      <c r="N42" t="str" cm="1">
        <f t="array" ref="N42">lambda_lifetimeage(Family[[#This Row],[BirthDate]],Family[[#This Row],[DeathDate]])</f>
        <v/>
      </c>
      <c r="O42" t="str" cm="1">
        <f t="array" ref="O42">lambda_currentage(Family[[#This Row],[BirthDate]],Family[[#This Row],[DeathDate]],$B$3)</f>
        <v/>
      </c>
    </row>
    <row r="43" spans="1:15" x14ac:dyDescent="0.3">
      <c r="A43">
        <f>ROW()-ROW(Family[[#Headers],[PersonID]])</f>
        <v>38</v>
      </c>
      <c r="B43" s="3" t="s">
        <v>57</v>
      </c>
      <c r="C43" s="3"/>
      <c r="D43" s="3" t="s">
        <v>22</v>
      </c>
      <c r="E43" s="4"/>
      <c r="F43" s="4"/>
      <c r="G43" s="3" t="s">
        <v>30</v>
      </c>
      <c r="H43" s="3" t="s">
        <v>31</v>
      </c>
      <c r="I43" s="3" t="s">
        <v>58</v>
      </c>
      <c r="J43" s="3"/>
      <c r="K43" cm="1">
        <f t="array" ref="K43">_xlfn.XLOOKUP(Family[[#This Row],[Father]],Family[[Name]:[Name]],Family[[PersonID]:[PersonID]],"",0)</f>
        <v>10</v>
      </c>
      <c r="L43" cm="1">
        <f t="array" ref="L43">_xlfn.XLOOKUP(Family[[#This Row],[Mother]],Family[[Name]:[Name]],Family[[PersonID]:[PersonID]],"",0)</f>
        <v>11</v>
      </c>
      <c r="M43" cm="1">
        <f t="array" ref="M43">_xlfn.XLOOKUP(Family[[#This Row],[Spouse]],Family[[Name]:[Name]],Family[[PersonID]:[PersonID]],"",0)</f>
        <v>39</v>
      </c>
      <c r="N43" t="str" cm="1">
        <f t="array" ref="N43">lambda_lifetimeage(Family[[#This Row],[BirthDate]],Family[[#This Row],[DeathDate]])</f>
        <v/>
      </c>
      <c r="O43" t="str" cm="1">
        <f t="array" ref="O43">lambda_currentage(Family[[#This Row],[BirthDate]],Family[[#This Row],[DeathDate]],$B$3)</f>
        <v/>
      </c>
    </row>
    <row r="44" spans="1:15" x14ac:dyDescent="0.3">
      <c r="A44">
        <f>ROW()-ROW(Family[[#Headers],[PersonID]])</f>
        <v>39</v>
      </c>
      <c r="B44" s="3" t="s">
        <v>58</v>
      </c>
      <c r="C44" s="3"/>
      <c r="D44" s="3" t="s">
        <v>19</v>
      </c>
      <c r="E44" s="4"/>
      <c r="F44" s="4"/>
      <c r="G44" s="3" t="s">
        <v>20</v>
      </c>
      <c r="H44" s="3" t="s">
        <v>20</v>
      </c>
      <c r="I44" s="3" t="s">
        <v>57</v>
      </c>
      <c r="J44" s="3"/>
      <c r="K44" t="str" cm="1">
        <f t="array" ref="K44">_xlfn.XLOOKUP(Family[[#This Row],[Father]],Family[[Name]:[Name]],Family[[PersonID]:[PersonID]],"",0)</f>
        <v/>
      </c>
      <c r="L44" t="str" cm="1">
        <f t="array" ref="L44">_xlfn.XLOOKUP(Family[[#This Row],[Mother]],Family[[Name]:[Name]],Family[[PersonID]:[PersonID]],"",0)</f>
        <v/>
      </c>
      <c r="M44" cm="1">
        <f t="array" ref="M44">_xlfn.XLOOKUP(Family[[#This Row],[Spouse]],Family[[Name]:[Name]],Family[[PersonID]:[PersonID]],"",0)</f>
        <v>38</v>
      </c>
      <c r="N44" t="str" cm="1">
        <f t="array" ref="N44">lambda_lifetimeage(Family[[#This Row],[BirthDate]],Family[[#This Row],[DeathDate]])</f>
        <v/>
      </c>
      <c r="O44" t="str" cm="1">
        <f t="array" ref="O44">lambda_currentage(Family[[#This Row],[BirthDate]],Family[[#This Row],[DeathDate]],$B$3)</f>
        <v/>
      </c>
    </row>
    <row r="45" spans="1:15" x14ac:dyDescent="0.3">
      <c r="A45">
        <f>ROW()-ROW(Family[[#Headers],[PersonID]])</f>
        <v>40</v>
      </c>
      <c r="B45" s="3" t="s">
        <v>59</v>
      </c>
      <c r="C45" s="3"/>
      <c r="D45" s="3" t="s">
        <v>19</v>
      </c>
      <c r="E45" s="4"/>
      <c r="F45" s="4"/>
      <c r="G45" s="3" t="s">
        <v>32</v>
      </c>
      <c r="H45" s="3" t="s">
        <v>33</v>
      </c>
      <c r="I45" s="3" t="s">
        <v>60</v>
      </c>
      <c r="J45" s="3"/>
      <c r="K45" cm="1">
        <f t="array" ref="K45">_xlfn.XLOOKUP(Family[[#This Row],[Father]],Family[[Name]:[Name]],Family[[PersonID]:[PersonID]],"",0)</f>
        <v>12</v>
      </c>
      <c r="L45" cm="1">
        <f t="array" ref="L45">_xlfn.XLOOKUP(Family[[#This Row],[Mother]],Family[[Name]:[Name]],Family[[PersonID]:[PersonID]],"",0)</f>
        <v>13</v>
      </c>
      <c r="M45" cm="1">
        <f t="array" ref="M45">_xlfn.XLOOKUP(Family[[#This Row],[Spouse]],Family[[Name]:[Name]],Family[[PersonID]:[PersonID]],"",0)</f>
        <v>41</v>
      </c>
      <c r="N45" t="str" cm="1">
        <f t="array" ref="N45">lambda_lifetimeage(Family[[#This Row],[BirthDate]],Family[[#This Row],[DeathDate]])</f>
        <v/>
      </c>
      <c r="O45" t="str" cm="1">
        <f t="array" ref="O45">lambda_currentage(Family[[#This Row],[BirthDate]],Family[[#This Row],[DeathDate]],$B$3)</f>
        <v/>
      </c>
    </row>
    <row r="46" spans="1:15" x14ac:dyDescent="0.3">
      <c r="A46">
        <f>ROW()-ROW(Family[[#Headers],[PersonID]])</f>
        <v>41</v>
      </c>
      <c r="B46" s="3" t="s">
        <v>60</v>
      </c>
      <c r="C46" s="3"/>
      <c r="D46" s="3" t="s">
        <v>22</v>
      </c>
      <c r="E46" s="4"/>
      <c r="F46" s="4"/>
      <c r="G46" s="3" t="s">
        <v>20</v>
      </c>
      <c r="H46" s="3" t="s">
        <v>20</v>
      </c>
      <c r="I46" s="3" t="s">
        <v>59</v>
      </c>
      <c r="J46" s="3"/>
      <c r="K46" t="str" cm="1">
        <f t="array" ref="K46">_xlfn.XLOOKUP(Family[[#This Row],[Father]],Family[[Name]:[Name]],Family[[PersonID]:[PersonID]],"",0)</f>
        <v/>
      </c>
      <c r="L46" t="str" cm="1">
        <f t="array" ref="L46">_xlfn.XLOOKUP(Family[[#This Row],[Mother]],Family[[Name]:[Name]],Family[[PersonID]:[PersonID]],"",0)</f>
        <v/>
      </c>
      <c r="M46" cm="1">
        <f t="array" ref="M46">_xlfn.XLOOKUP(Family[[#This Row],[Spouse]],Family[[Name]:[Name]],Family[[PersonID]:[PersonID]],"",0)</f>
        <v>40</v>
      </c>
      <c r="N46" t="str" cm="1">
        <f t="array" ref="N46">lambda_lifetimeage(Family[[#This Row],[BirthDate]],Family[[#This Row],[DeathDate]])</f>
        <v/>
      </c>
      <c r="O46" t="str" cm="1">
        <f t="array" ref="O46">lambda_currentage(Family[[#This Row],[BirthDate]],Family[[#This Row],[DeathDate]],$B$3)</f>
        <v/>
      </c>
    </row>
    <row r="47" spans="1:15" x14ac:dyDescent="0.3">
      <c r="A47">
        <f>ROW()-ROW(Family[[#Headers],[PersonID]])</f>
        <v>42</v>
      </c>
      <c r="B47" s="3" t="s">
        <v>61</v>
      </c>
      <c r="C47" s="3"/>
      <c r="D47" s="3" t="s">
        <v>19</v>
      </c>
      <c r="E47" s="4"/>
      <c r="F47" s="4"/>
      <c r="G47" s="3" t="s">
        <v>32</v>
      </c>
      <c r="H47" s="3" t="s">
        <v>33</v>
      </c>
      <c r="I47" s="3" t="s">
        <v>20</v>
      </c>
      <c r="J47" s="3"/>
      <c r="K47" cm="1">
        <f t="array" ref="K47">_xlfn.XLOOKUP(Family[[#This Row],[Father]],Family[[Name]:[Name]],Family[[PersonID]:[PersonID]],"",0)</f>
        <v>12</v>
      </c>
      <c r="L47" cm="1">
        <f t="array" ref="L47">_xlfn.XLOOKUP(Family[[#This Row],[Mother]],Family[[Name]:[Name]],Family[[PersonID]:[PersonID]],"",0)</f>
        <v>13</v>
      </c>
      <c r="M47" t="str" cm="1">
        <f t="array" ref="M47">_xlfn.XLOOKUP(Family[[#This Row],[Spouse]],Family[[Name]:[Name]],Family[[PersonID]:[PersonID]],"",0)</f>
        <v/>
      </c>
      <c r="N47" t="str" cm="1">
        <f t="array" ref="N47">lambda_lifetimeage(Family[[#This Row],[BirthDate]],Family[[#This Row],[DeathDate]])</f>
        <v/>
      </c>
      <c r="O47" t="str" cm="1">
        <f t="array" ref="O47">lambda_currentage(Family[[#This Row],[BirthDate]],Family[[#This Row],[DeathDate]],$B$3)</f>
        <v/>
      </c>
    </row>
    <row r="48" spans="1:15" x14ac:dyDescent="0.3">
      <c r="A48">
        <f>ROW()-ROW(Family[[#Headers],[PersonID]])</f>
        <v>43</v>
      </c>
      <c r="B48" s="3" t="s">
        <v>62</v>
      </c>
      <c r="C48" s="3"/>
      <c r="D48" s="3" t="s">
        <v>19</v>
      </c>
      <c r="E48" s="4"/>
      <c r="F48" s="4"/>
      <c r="G48" s="3" t="s">
        <v>32</v>
      </c>
      <c r="H48" s="3" t="s">
        <v>33</v>
      </c>
      <c r="I48" s="3" t="s">
        <v>20</v>
      </c>
      <c r="J48" s="3"/>
      <c r="K48" cm="1">
        <f t="array" ref="K48">_xlfn.XLOOKUP(Family[[#This Row],[Father]],Family[[Name]:[Name]],Family[[PersonID]:[PersonID]],"",0)</f>
        <v>12</v>
      </c>
      <c r="L48" cm="1">
        <f t="array" ref="L48">_xlfn.XLOOKUP(Family[[#This Row],[Mother]],Family[[Name]:[Name]],Family[[PersonID]:[PersonID]],"",0)</f>
        <v>13</v>
      </c>
      <c r="M48" t="str" cm="1">
        <f t="array" ref="M48">_xlfn.XLOOKUP(Family[[#This Row],[Spouse]],Family[[Name]:[Name]],Family[[PersonID]:[PersonID]],"",0)</f>
        <v/>
      </c>
      <c r="N48" t="str" cm="1">
        <f t="array" ref="N48">lambda_lifetimeage(Family[[#This Row],[BirthDate]],Family[[#This Row],[DeathDate]])</f>
        <v/>
      </c>
      <c r="O48" t="str" cm="1">
        <f t="array" ref="O48">lambda_currentage(Family[[#This Row],[BirthDate]],Family[[#This Row],[DeathDate]],$B$3)</f>
        <v/>
      </c>
    </row>
    <row r="49" spans="1:15" x14ac:dyDescent="0.3">
      <c r="A49">
        <f>ROW()-ROW(Family[[#Headers],[PersonID]])</f>
        <v>44</v>
      </c>
      <c r="B49" s="3" t="s">
        <v>63</v>
      </c>
      <c r="C49" s="3"/>
      <c r="D49" s="3" t="s">
        <v>19</v>
      </c>
      <c r="E49" s="4"/>
      <c r="F49" s="4"/>
      <c r="G49" s="3" t="s">
        <v>32</v>
      </c>
      <c r="H49" s="3" t="s">
        <v>33</v>
      </c>
      <c r="I49" s="3" t="s">
        <v>64</v>
      </c>
      <c r="J49" s="3"/>
      <c r="K49" cm="1">
        <f t="array" ref="K49">_xlfn.XLOOKUP(Family[[#This Row],[Father]],Family[[Name]:[Name]],Family[[PersonID]:[PersonID]],"",0)</f>
        <v>12</v>
      </c>
      <c r="L49" cm="1">
        <f t="array" ref="L49">_xlfn.XLOOKUP(Family[[#This Row],[Mother]],Family[[Name]:[Name]],Family[[PersonID]:[PersonID]],"",0)</f>
        <v>13</v>
      </c>
      <c r="M49" cm="1">
        <f t="array" ref="M49">_xlfn.XLOOKUP(Family[[#This Row],[Spouse]],Family[[Name]:[Name]],Family[[PersonID]:[PersonID]],"",0)</f>
        <v>45</v>
      </c>
      <c r="N49" t="str" cm="1">
        <f t="array" ref="N49">lambda_lifetimeage(Family[[#This Row],[BirthDate]],Family[[#This Row],[DeathDate]])</f>
        <v/>
      </c>
      <c r="O49" t="str" cm="1">
        <f t="array" ref="O49">lambda_currentage(Family[[#This Row],[BirthDate]],Family[[#This Row],[DeathDate]],$B$3)</f>
        <v/>
      </c>
    </row>
    <row r="50" spans="1:15" x14ac:dyDescent="0.3">
      <c r="A50">
        <f>ROW()-ROW(Family[[#Headers],[PersonID]])</f>
        <v>45</v>
      </c>
      <c r="B50" s="3" t="s">
        <v>64</v>
      </c>
      <c r="C50" s="3"/>
      <c r="D50" s="3" t="s">
        <v>22</v>
      </c>
      <c r="E50" s="4"/>
      <c r="F50" s="4"/>
      <c r="G50" s="3" t="s">
        <v>20</v>
      </c>
      <c r="H50" s="3" t="s">
        <v>20</v>
      </c>
      <c r="I50" s="3" t="s">
        <v>63</v>
      </c>
      <c r="J50" s="3"/>
      <c r="K50" t="str" cm="1">
        <f t="array" ref="K50">_xlfn.XLOOKUP(Family[[#This Row],[Father]],Family[[Name]:[Name]],Family[[PersonID]:[PersonID]],"",0)</f>
        <v/>
      </c>
      <c r="L50" t="str" cm="1">
        <f t="array" ref="L50">_xlfn.XLOOKUP(Family[[#This Row],[Mother]],Family[[Name]:[Name]],Family[[PersonID]:[PersonID]],"",0)</f>
        <v/>
      </c>
      <c r="M50" cm="1">
        <f t="array" ref="M50">_xlfn.XLOOKUP(Family[[#This Row],[Spouse]],Family[[Name]:[Name]],Family[[PersonID]:[PersonID]],"",0)</f>
        <v>44</v>
      </c>
      <c r="N50" t="str" cm="1">
        <f t="array" ref="N50">lambda_lifetimeage(Family[[#This Row],[BirthDate]],Family[[#This Row],[DeathDate]])</f>
        <v/>
      </c>
      <c r="O50" t="str" cm="1">
        <f t="array" ref="O50">lambda_currentage(Family[[#This Row],[BirthDate]],Family[[#This Row],[DeathDate]],$B$3)</f>
        <v/>
      </c>
    </row>
    <row r="51" spans="1:15" x14ac:dyDescent="0.3">
      <c r="A51">
        <f>ROW()-ROW(Family[[#Headers],[PersonID]])</f>
        <v>46</v>
      </c>
      <c r="B51" s="3" t="s">
        <v>65</v>
      </c>
      <c r="C51" s="3"/>
      <c r="D51" s="3" t="s">
        <v>19</v>
      </c>
      <c r="E51" s="4"/>
      <c r="F51" s="4"/>
      <c r="G51" s="3" t="s">
        <v>34</v>
      </c>
      <c r="H51" s="3" t="s">
        <v>35</v>
      </c>
      <c r="I51" s="3" t="s">
        <v>66</v>
      </c>
      <c r="J51" s="3"/>
      <c r="K51" cm="1">
        <f t="array" ref="K51">_xlfn.XLOOKUP(Family[[#This Row],[Father]],Family[[Name]:[Name]],Family[[PersonID]:[PersonID]],"",0)</f>
        <v>14</v>
      </c>
      <c r="L51" cm="1">
        <f t="array" ref="L51">_xlfn.XLOOKUP(Family[[#This Row],[Mother]],Family[[Name]:[Name]],Family[[PersonID]:[PersonID]],"",0)</f>
        <v>15</v>
      </c>
      <c r="M51" cm="1">
        <f t="array" ref="M51">_xlfn.XLOOKUP(Family[[#This Row],[Spouse]],Family[[Name]:[Name]],Family[[PersonID]:[PersonID]],"",0)</f>
        <v>47</v>
      </c>
      <c r="N51" t="str" cm="1">
        <f t="array" ref="N51">lambda_lifetimeage(Family[[#This Row],[BirthDate]],Family[[#This Row],[DeathDate]])</f>
        <v/>
      </c>
      <c r="O51" t="str" cm="1">
        <f t="array" ref="O51">lambda_currentage(Family[[#This Row],[BirthDate]],Family[[#This Row],[DeathDate]],$B$3)</f>
        <v/>
      </c>
    </row>
    <row r="52" spans="1:15" x14ac:dyDescent="0.3">
      <c r="A52">
        <f>ROW()-ROW(Family[[#Headers],[PersonID]])</f>
        <v>47</v>
      </c>
      <c r="B52" s="3" t="s">
        <v>66</v>
      </c>
      <c r="C52" s="3"/>
      <c r="D52" s="3" t="s">
        <v>22</v>
      </c>
      <c r="E52" s="4"/>
      <c r="F52" s="4"/>
      <c r="G52" s="3" t="s">
        <v>20</v>
      </c>
      <c r="H52" s="3" t="s">
        <v>20</v>
      </c>
      <c r="I52" s="3" t="s">
        <v>65</v>
      </c>
      <c r="J52" s="3"/>
      <c r="K52" t="str" cm="1">
        <f t="array" ref="K52">_xlfn.XLOOKUP(Family[[#This Row],[Father]],Family[[Name]:[Name]],Family[[PersonID]:[PersonID]],"",0)</f>
        <v/>
      </c>
      <c r="L52" t="str" cm="1">
        <f t="array" ref="L52">_xlfn.XLOOKUP(Family[[#This Row],[Mother]],Family[[Name]:[Name]],Family[[PersonID]:[PersonID]],"",0)</f>
        <v/>
      </c>
      <c r="M52" cm="1">
        <f t="array" ref="M52">_xlfn.XLOOKUP(Family[[#This Row],[Spouse]],Family[[Name]:[Name]],Family[[PersonID]:[PersonID]],"",0)</f>
        <v>46</v>
      </c>
      <c r="N52" t="str" cm="1">
        <f t="array" ref="N52">lambda_lifetimeage(Family[[#This Row],[BirthDate]],Family[[#This Row],[DeathDate]])</f>
        <v/>
      </c>
      <c r="O52" t="str" cm="1">
        <f t="array" ref="O52">lambda_currentage(Family[[#This Row],[BirthDate]],Family[[#This Row],[DeathDate]],$B$3)</f>
        <v/>
      </c>
    </row>
    <row r="53" spans="1:15" x14ac:dyDescent="0.3">
      <c r="A53">
        <f>ROW()-ROW(Family[[#Headers],[PersonID]])</f>
        <v>48</v>
      </c>
      <c r="B53" s="3" t="s">
        <v>105</v>
      </c>
      <c r="C53" s="3"/>
      <c r="D53" s="3" t="s">
        <v>19</v>
      </c>
      <c r="E53" s="4"/>
      <c r="F53" s="4"/>
      <c r="G53" s="3" t="s">
        <v>20</v>
      </c>
      <c r="H53" s="3" t="s">
        <v>20</v>
      </c>
      <c r="I53" s="3" t="s">
        <v>100</v>
      </c>
      <c r="J53" s="3"/>
      <c r="K53" t="str" cm="1">
        <f t="array" ref="K53">_xlfn.XLOOKUP(Family[[#This Row],[Father]],Family[[Name]:[Name]],Family[[PersonID]:[PersonID]],"",0)</f>
        <v/>
      </c>
      <c r="L53" t="str" cm="1">
        <f t="array" ref="L53">_xlfn.XLOOKUP(Family[[#This Row],[Mother]],Family[[Name]:[Name]],Family[[PersonID]:[PersonID]],"",0)</f>
        <v/>
      </c>
      <c r="M53" cm="1">
        <f t="array" ref="M53">_xlfn.XLOOKUP(Family[[#This Row],[Spouse]],Family[[Name]:[Name]],Family[[PersonID]:[PersonID]],"",0)</f>
        <v>49</v>
      </c>
      <c r="N53" t="str" cm="1">
        <f t="array" ref="N53">lambda_lifetimeage(Family[[#This Row],[BirthDate]],Family[[#This Row],[DeathDate]])</f>
        <v/>
      </c>
      <c r="O53" t="str" cm="1">
        <f t="array" ref="O53">lambda_currentage(Family[[#This Row],[BirthDate]],Family[[#This Row],[DeathDate]],$B$3)</f>
        <v/>
      </c>
    </row>
    <row r="54" spans="1:15" x14ac:dyDescent="0.3">
      <c r="A54">
        <f>ROW()-ROW(Family[[#Headers],[PersonID]])</f>
        <v>49</v>
      </c>
      <c r="B54" s="3" t="s">
        <v>100</v>
      </c>
      <c r="C54" s="3"/>
      <c r="D54" s="3" t="s">
        <v>22</v>
      </c>
      <c r="E54" s="4"/>
      <c r="F54" s="4"/>
      <c r="G54" s="3" t="s">
        <v>34</v>
      </c>
      <c r="H54" s="3" t="s">
        <v>35</v>
      </c>
      <c r="I54" s="3" t="s">
        <v>105</v>
      </c>
      <c r="J54" s="3"/>
      <c r="K54" cm="1">
        <f t="array" ref="K54">_xlfn.XLOOKUP(Family[[#This Row],[Father]],Family[[Name]:[Name]],Family[[PersonID]:[PersonID]],"",0)</f>
        <v>14</v>
      </c>
      <c r="L54" cm="1">
        <f t="array" ref="L54">_xlfn.XLOOKUP(Family[[#This Row],[Mother]],Family[[Name]:[Name]],Family[[PersonID]:[PersonID]],"",0)</f>
        <v>15</v>
      </c>
      <c r="M54" cm="1">
        <f t="array" ref="M54">_xlfn.XLOOKUP(Family[[#This Row],[Spouse]],Family[[Name]:[Name]],Family[[PersonID]:[PersonID]],"",0)</f>
        <v>48</v>
      </c>
      <c r="N54" t="str" cm="1">
        <f t="array" ref="N54">lambda_lifetimeage(Family[[#This Row],[BirthDate]],Family[[#This Row],[DeathDate]])</f>
        <v/>
      </c>
      <c r="O54" t="str" cm="1">
        <f t="array" ref="O54">lambda_currentage(Family[[#This Row],[BirthDate]],Family[[#This Row],[DeathDate]],$B$3)</f>
        <v/>
      </c>
    </row>
    <row r="55" spans="1:15" x14ac:dyDescent="0.3">
      <c r="A55">
        <f>ROW()-ROW(Family[[#Headers],[PersonID]])</f>
        <v>50</v>
      </c>
      <c r="B55" s="3" t="s">
        <v>67</v>
      </c>
      <c r="C55" s="3"/>
      <c r="D55" s="3" t="s">
        <v>19</v>
      </c>
      <c r="E55" s="4"/>
      <c r="F55" s="4"/>
      <c r="G55" s="3" t="s">
        <v>34</v>
      </c>
      <c r="H55" s="3" t="s">
        <v>35</v>
      </c>
      <c r="I55" s="3"/>
      <c r="J55" s="3"/>
      <c r="K55" cm="1">
        <f t="array" ref="K55">_xlfn.XLOOKUP(Family[[#This Row],[Father]],Family[[Name]:[Name]],Family[[PersonID]:[PersonID]],"",0)</f>
        <v>14</v>
      </c>
      <c r="L55" cm="1">
        <f t="array" ref="L55">_xlfn.XLOOKUP(Family[[#This Row],[Mother]],Family[[Name]:[Name]],Family[[PersonID]:[PersonID]],"",0)</f>
        <v>15</v>
      </c>
      <c r="M55" t="str" cm="1">
        <f t="array" ref="M55">_xlfn.XLOOKUP(Family[[#This Row],[Spouse]],Family[[Name]:[Name]],Family[[PersonID]:[PersonID]],"",0)</f>
        <v/>
      </c>
      <c r="N55" t="str" cm="1">
        <f t="array" ref="N55">lambda_lifetimeage(Family[[#This Row],[BirthDate]],Family[[#This Row],[DeathDate]])</f>
        <v/>
      </c>
      <c r="O55" t="str" cm="1">
        <f t="array" ref="O55">lambda_currentage(Family[[#This Row],[BirthDate]],Family[[#This Row],[DeathDate]],$B$3)</f>
        <v/>
      </c>
    </row>
    <row r="56" spans="1:15" x14ac:dyDescent="0.3">
      <c r="A56">
        <f>ROW()-ROW(Family[[#Headers],[PersonID]])</f>
        <v>51</v>
      </c>
      <c r="B56" s="3" t="s">
        <v>68</v>
      </c>
      <c r="C56" s="3"/>
      <c r="D56" s="3" t="s">
        <v>22</v>
      </c>
      <c r="E56" s="4"/>
      <c r="F56" s="4"/>
      <c r="G56" s="3" t="s">
        <v>34</v>
      </c>
      <c r="H56" s="3" t="s">
        <v>35</v>
      </c>
      <c r="I56" s="3" t="s">
        <v>20</v>
      </c>
      <c r="J56" s="3"/>
      <c r="K56" cm="1">
        <f t="array" ref="K56">_xlfn.XLOOKUP(Family[[#This Row],[Father]],Family[[Name]:[Name]],Family[[PersonID]:[PersonID]],"",0)</f>
        <v>14</v>
      </c>
      <c r="L56" cm="1">
        <f t="array" ref="L56">_xlfn.XLOOKUP(Family[[#This Row],[Mother]],Family[[Name]:[Name]],Family[[PersonID]:[PersonID]],"",0)</f>
        <v>15</v>
      </c>
      <c r="M56" t="str" cm="1">
        <f t="array" ref="M56">_xlfn.XLOOKUP(Family[[#This Row],[Spouse]],Family[[Name]:[Name]],Family[[PersonID]:[PersonID]],"",0)</f>
        <v/>
      </c>
      <c r="N56" t="str" cm="1">
        <f t="array" ref="N56">lambda_lifetimeage(Family[[#This Row],[BirthDate]],Family[[#This Row],[DeathDate]])</f>
        <v/>
      </c>
      <c r="O56" t="str" cm="1">
        <f t="array" ref="O56">lambda_currentage(Family[[#This Row],[BirthDate]],Family[[#This Row],[DeathDate]],$B$3)</f>
        <v/>
      </c>
    </row>
    <row r="57" spans="1:15" x14ac:dyDescent="0.3">
      <c r="A57">
        <f>ROW()-ROW(Family[[#Headers],[PersonID]])</f>
        <v>52</v>
      </c>
      <c r="B57" s="3" t="s">
        <v>69</v>
      </c>
      <c r="C57" s="3"/>
      <c r="D57" s="3" t="s">
        <v>19</v>
      </c>
      <c r="E57" s="4"/>
      <c r="F57" s="4"/>
      <c r="G57" s="3" t="s">
        <v>20</v>
      </c>
      <c r="H57" s="3" t="s">
        <v>20</v>
      </c>
      <c r="I57" s="3" t="s">
        <v>101</v>
      </c>
      <c r="J57" s="3"/>
      <c r="K57" t="str" cm="1">
        <f t="array" ref="K57">_xlfn.XLOOKUP(Family[[#This Row],[Father]],Family[[Name]:[Name]],Family[[PersonID]:[PersonID]],"",0)</f>
        <v/>
      </c>
      <c r="L57" t="str" cm="1">
        <f t="array" ref="L57">_xlfn.XLOOKUP(Family[[#This Row],[Mother]],Family[[Name]:[Name]],Family[[PersonID]:[PersonID]],"",0)</f>
        <v/>
      </c>
      <c r="M57" cm="1">
        <f t="array" ref="M57">_xlfn.XLOOKUP(Family[[#This Row],[Spouse]],Family[[Name]:[Name]],Family[[PersonID]:[PersonID]],"",0)</f>
        <v>53</v>
      </c>
      <c r="N57" t="str" cm="1">
        <f t="array" ref="N57">lambda_lifetimeage(Family[[#This Row],[BirthDate]],Family[[#This Row],[DeathDate]])</f>
        <v/>
      </c>
      <c r="O57" t="str" cm="1">
        <f t="array" ref="O57">lambda_currentage(Family[[#This Row],[BirthDate]],Family[[#This Row],[DeathDate]],$B$3)</f>
        <v/>
      </c>
    </row>
    <row r="58" spans="1:15" x14ac:dyDescent="0.3">
      <c r="A58">
        <f>ROW()-ROW(Family[[#Headers],[PersonID]])</f>
        <v>53</v>
      </c>
      <c r="B58" s="3" t="s">
        <v>101</v>
      </c>
      <c r="C58" s="3"/>
      <c r="D58" s="3" t="s">
        <v>22</v>
      </c>
      <c r="E58" s="4"/>
      <c r="F58" s="4"/>
      <c r="G58" s="3" t="s">
        <v>36</v>
      </c>
      <c r="H58" s="3" t="s">
        <v>37</v>
      </c>
      <c r="I58" s="3" t="s">
        <v>69</v>
      </c>
      <c r="J58" s="3"/>
      <c r="K58" cm="1">
        <f t="array" ref="K58">_xlfn.XLOOKUP(Family[[#This Row],[Father]],Family[[Name]:[Name]],Family[[PersonID]:[PersonID]],"",0)</f>
        <v>16</v>
      </c>
      <c r="L58" cm="1">
        <f t="array" ref="L58">_xlfn.XLOOKUP(Family[[#This Row],[Mother]],Family[[Name]:[Name]],Family[[PersonID]:[PersonID]],"",0)</f>
        <v>17</v>
      </c>
      <c r="M58" cm="1">
        <f t="array" ref="M58">_xlfn.XLOOKUP(Family[[#This Row],[Spouse]],Family[[Name]:[Name]],Family[[PersonID]:[PersonID]],"",0)</f>
        <v>52</v>
      </c>
      <c r="N58" t="str" cm="1">
        <f t="array" ref="N58">lambda_lifetimeage(Family[[#This Row],[BirthDate]],Family[[#This Row],[DeathDate]])</f>
        <v/>
      </c>
      <c r="O58" t="str" cm="1">
        <f t="array" ref="O58">lambda_currentage(Family[[#This Row],[BirthDate]],Family[[#This Row],[DeathDate]],$B$3)</f>
        <v/>
      </c>
    </row>
    <row r="59" spans="1:15" x14ac:dyDescent="0.3">
      <c r="A59">
        <f>ROW()-ROW(Family[[#Headers],[PersonID]])</f>
        <v>54</v>
      </c>
      <c r="B59" s="3" t="s">
        <v>70</v>
      </c>
      <c r="C59" s="3"/>
      <c r="D59" s="3" t="s">
        <v>19</v>
      </c>
      <c r="E59" s="4"/>
      <c r="F59" s="4"/>
      <c r="G59" s="3" t="s">
        <v>36</v>
      </c>
      <c r="H59" s="3" t="s">
        <v>37</v>
      </c>
      <c r="I59" s="3" t="s">
        <v>71</v>
      </c>
      <c r="J59" s="3"/>
      <c r="K59" cm="1">
        <f t="array" ref="K59">_xlfn.XLOOKUP(Family[[#This Row],[Father]],Family[[Name]:[Name]],Family[[PersonID]:[PersonID]],"",0)</f>
        <v>16</v>
      </c>
      <c r="L59" cm="1">
        <f t="array" ref="L59">_xlfn.XLOOKUP(Family[[#This Row],[Mother]],Family[[Name]:[Name]],Family[[PersonID]:[PersonID]],"",0)</f>
        <v>17</v>
      </c>
      <c r="M59" cm="1">
        <f t="array" ref="M59">_xlfn.XLOOKUP(Family[[#This Row],[Spouse]],Family[[Name]:[Name]],Family[[PersonID]:[PersonID]],"",0)</f>
        <v>55</v>
      </c>
      <c r="N59" t="str" cm="1">
        <f t="array" ref="N59">lambda_lifetimeage(Family[[#This Row],[BirthDate]],Family[[#This Row],[DeathDate]])</f>
        <v/>
      </c>
      <c r="O59" t="str" cm="1">
        <f t="array" ref="O59">lambda_currentage(Family[[#This Row],[BirthDate]],Family[[#This Row],[DeathDate]],$B$3)</f>
        <v/>
      </c>
    </row>
    <row r="60" spans="1:15" x14ac:dyDescent="0.3">
      <c r="A60">
        <f>ROW()-ROW(Family[[#Headers],[PersonID]])</f>
        <v>55</v>
      </c>
      <c r="B60" s="3" t="s">
        <v>71</v>
      </c>
      <c r="C60" s="3"/>
      <c r="D60" s="3" t="s">
        <v>22</v>
      </c>
      <c r="E60" s="4"/>
      <c r="F60" s="4"/>
      <c r="G60" s="3" t="s">
        <v>20</v>
      </c>
      <c r="H60" s="3" t="s">
        <v>20</v>
      </c>
      <c r="I60" s="3" t="s">
        <v>70</v>
      </c>
      <c r="J60" s="3"/>
      <c r="K60" t="str" cm="1">
        <f t="array" ref="K60">_xlfn.XLOOKUP(Family[[#This Row],[Father]],Family[[Name]:[Name]],Family[[PersonID]:[PersonID]],"",0)</f>
        <v/>
      </c>
      <c r="L60" t="str" cm="1">
        <f t="array" ref="L60">_xlfn.XLOOKUP(Family[[#This Row],[Mother]],Family[[Name]:[Name]],Family[[PersonID]:[PersonID]],"",0)</f>
        <v/>
      </c>
      <c r="M60" cm="1">
        <f t="array" ref="M60">_xlfn.XLOOKUP(Family[[#This Row],[Spouse]],Family[[Name]:[Name]],Family[[PersonID]:[PersonID]],"",0)</f>
        <v>54</v>
      </c>
      <c r="N60" t="str" cm="1">
        <f t="array" ref="N60">lambda_lifetimeage(Family[[#This Row],[BirthDate]],Family[[#This Row],[DeathDate]])</f>
        <v/>
      </c>
      <c r="O60" t="str" cm="1">
        <f t="array" ref="O60">lambda_currentage(Family[[#This Row],[BirthDate]],Family[[#This Row],[DeathDate]],$B$3)</f>
        <v/>
      </c>
    </row>
    <row r="61" spans="1:15" x14ac:dyDescent="0.3">
      <c r="A61">
        <f>ROW()-ROW(Family[[#Headers],[PersonID]])</f>
        <v>56</v>
      </c>
      <c r="B61" s="3" t="s">
        <v>72</v>
      </c>
      <c r="C61" s="3"/>
      <c r="D61" s="3" t="s">
        <v>19</v>
      </c>
      <c r="E61" s="4"/>
      <c r="F61" s="4"/>
      <c r="G61" s="3" t="s">
        <v>38</v>
      </c>
      <c r="H61" s="3" t="s">
        <v>39</v>
      </c>
      <c r="I61" s="3" t="s">
        <v>97</v>
      </c>
      <c r="J61" s="3"/>
      <c r="K61" cm="1">
        <f t="array" ref="K61">_xlfn.XLOOKUP(Family[[#This Row],[Father]],Family[[Name]:[Name]],Family[[PersonID]:[PersonID]],"",0)</f>
        <v>18</v>
      </c>
      <c r="L61" cm="1">
        <f t="array" ref="L61">_xlfn.XLOOKUP(Family[[#This Row],[Mother]],Family[[Name]:[Name]],Family[[PersonID]:[PersonID]],"",0)</f>
        <v>19</v>
      </c>
      <c r="M61" cm="1">
        <f t="array" ref="M61">_xlfn.XLOOKUP(Family[[#This Row],[Spouse]],Family[[Name]:[Name]],Family[[PersonID]:[PersonID]],"",0)</f>
        <v>57</v>
      </c>
      <c r="N61" t="str" cm="1">
        <f t="array" ref="N61">lambda_lifetimeage(Family[[#This Row],[BirthDate]],Family[[#This Row],[DeathDate]])</f>
        <v/>
      </c>
      <c r="O61" t="str" cm="1">
        <f t="array" ref="O61">lambda_currentage(Family[[#This Row],[BirthDate]],Family[[#This Row],[DeathDate]],$B$3)</f>
        <v/>
      </c>
    </row>
    <row r="62" spans="1:15" x14ac:dyDescent="0.3">
      <c r="A62">
        <f>ROW()-ROW(Family[[#Headers],[PersonID]])</f>
        <v>57</v>
      </c>
      <c r="B62" s="3" t="s">
        <v>97</v>
      </c>
      <c r="C62" s="3"/>
      <c r="D62" s="3" t="s">
        <v>22</v>
      </c>
      <c r="E62" s="4"/>
      <c r="F62" s="4"/>
      <c r="G62" s="4"/>
      <c r="H62" s="4"/>
      <c r="I62" s="4" t="s">
        <v>72</v>
      </c>
      <c r="J62" s="3"/>
      <c r="K62" t="str" cm="1">
        <f t="array" ref="K62">_xlfn.XLOOKUP(Family[[#This Row],[Father]],Family[[Name]:[Name]],Family[[PersonID]:[PersonID]],"",0)</f>
        <v/>
      </c>
      <c r="L62" t="str" cm="1">
        <f t="array" ref="L62">_xlfn.XLOOKUP(Family[[#This Row],[Mother]],Family[[Name]:[Name]],Family[[PersonID]:[PersonID]],"",0)</f>
        <v/>
      </c>
      <c r="M62" cm="1">
        <f t="array" ref="M62">_xlfn.XLOOKUP(Family[[#This Row],[Spouse]],Family[[Name]:[Name]],Family[[PersonID]:[PersonID]],"",0)</f>
        <v>56</v>
      </c>
      <c r="N62" t="str" cm="1">
        <f t="array" ref="N62">lambda_lifetimeage(Family[[#This Row],[BirthDate]],Family[[#This Row],[DeathDate]])</f>
        <v/>
      </c>
      <c r="O62" t="str" cm="1">
        <f t="array" ref="O62">lambda_currentage(Family[[#This Row],[BirthDate]],Family[[#This Row],[DeathDate]],$B$3)</f>
        <v/>
      </c>
    </row>
    <row r="63" spans="1:15" x14ac:dyDescent="0.3">
      <c r="A63">
        <f>ROW()-ROW(Family[[#Headers],[PersonID]])</f>
        <v>58</v>
      </c>
      <c r="B63" s="3" t="s">
        <v>73</v>
      </c>
      <c r="C63" s="3"/>
      <c r="D63" s="3" t="s">
        <v>22</v>
      </c>
      <c r="E63" s="4"/>
      <c r="F63" s="4"/>
      <c r="G63" s="3" t="s">
        <v>38</v>
      </c>
      <c r="H63" s="3" t="s">
        <v>39</v>
      </c>
      <c r="I63" s="3" t="s">
        <v>20</v>
      </c>
      <c r="J63" s="3"/>
      <c r="K63" cm="1">
        <f t="array" ref="K63">_xlfn.XLOOKUP(Family[[#This Row],[Father]],Family[[Name]:[Name]],Family[[PersonID]:[PersonID]],"",0)</f>
        <v>18</v>
      </c>
      <c r="L63" cm="1">
        <f t="array" ref="L63">_xlfn.XLOOKUP(Family[[#This Row],[Mother]],Family[[Name]:[Name]],Family[[PersonID]:[PersonID]],"",0)</f>
        <v>19</v>
      </c>
      <c r="M63" t="str" cm="1">
        <f t="array" ref="M63">_xlfn.XLOOKUP(Family[[#This Row],[Spouse]],Family[[Name]:[Name]],Family[[PersonID]:[PersonID]],"",0)</f>
        <v/>
      </c>
      <c r="N63" t="str" cm="1">
        <f t="array" ref="N63">lambda_lifetimeage(Family[[#This Row],[BirthDate]],Family[[#This Row],[DeathDate]])</f>
        <v/>
      </c>
      <c r="O63" t="str" cm="1">
        <f t="array" ref="O63">lambda_currentage(Family[[#This Row],[BirthDate]],Family[[#This Row],[DeathDate]],$B$3)</f>
        <v/>
      </c>
    </row>
    <row r="64" spans="1:15" x14ac:dyDescent="0.3">
      <c r="A64">
        <f>ROW()-ROW(Family[[#Headers],[PersonID]])</f>
        <v>59</v>
      </c>
      <c r="B64" s="3" t="s">
        <v>74</v>
      </c>
      <c r="C64" s="3"/>
      <c r="D64" s="3" t="s">
        <v>22</v>
      </c>
      <c r="E64" s="4"/>
      <c r="F64" s="4"/>
      <c r="G64" s="3" t="s">
        <v>42</v>
      </c>
      <c r="H64" s="3" t="s">
        <v>43</v>
      </c>
      <c r="I64" s="3" t="s">
        <v>20</v>
      </c>
      <c r="J64" s="3"/>
      <c r="K64" cm="1">
        <f t="array" ref="K64">_xlfn.XLOOKUP(Family[[#This Row],[Father]],Family[[Name]:[Name]],Family[[PersonID]:[PersonID]],"",0)</f>
        <v>22</v>
      </c>
      <c r="L64" cm="1">
        <f t="array" ref="L64">_xlfn.XLOOKUP(Family[[#This Row],[Mother]],Family[[Name]:[Name]],Family[[PersonID]:[PersonID]],"",0)</f>
        <v>23</v>
      </c>
      <c r="M64" t="str" cm="1">
        <f t="array" ref="M64">_xlfn.XLOOKUP(Family[[#This Row],[Spouse]],Family[[Name]:[Name]],Family[[PersonID]:[PersonID]],"",0)</f>
        <v/>
      </c>
      <c r="N64" t="str" cm="1">
        <f t="array" ref="N64">lambda_lifetimeage(Family[[#This Row],[BirthDate]],Family[[#This Row],[DeathDate]])</f>
        <v/>
      </c>
      <c r="O64" t="str" cm="1">
        <f t="array" ref="O64">lambda_currentage(Family[[#This Row],[BirthDate]],Family[[#This Row],[DeathDate]],$B$3)</f>
        <v/>
      </c>
    </row>
    <row r="65" spans="1:15" x14ac:dyDescent="0.3">
      <c r="A65">
        <f>ROW()-ROW(Family[[#Headers],[PersonID]])</f>
        <v>60</v>
      </c>
      <c r="B65" s="3" t="s">
        <v>75</v>
      </c>
      <c r="C65" s="3"/>
      <c r="D65" s="3" t="s">
        <v>19</v>
      </c>
      <c r="E65" s="4"/>
      <c r="F65" s="4"/>
      <c r="G65" s="3" t="s">
        <v>42</v>
      </c>
      <c r="H65" s="3" t="s">
        <v>43</v>
      </c>
      <c r="I65" s="3" t="s">
        <v>20</v>
      </c>
      <c r="J65" s="3"/>
      <c r="K65" cm="1">
        <f t="array" ref="K65">_xlfn.XLOOKUP(Family[[#This Row],[Father]],Family[[Name]:[Name]],Family[[PersonID]:[PersonID]],"",0)</f>
        <v>22</v>
      </c>
      <c r="L65" cm="1">
        <f t="array" ref="L65">_xlfn.XLOOKUP(Family[[#This Row],[Mother]],Family[[Name]:[Name]],Family[[PersonID]:[PersonID]],"",0)</f>
        <v>23</v>
      </c>
      <c r="M65" t="str" cm="1">
        <f t="array" ref="M65">_xlfn.XLOOKUP(Family[[#This Row],[Spouse]],Family[[Name]:[Name]],Family[[PersonID]:[PersonID]],"",0)</f>
        <v/>
      </c>
      <c r="N65" t="str" cm="1">
        <f t="array" ref="N65">lambda_lifetimeage(Family[[#This Row],[BirthDate]],Family[[#This Row],[DeathDate]])</f>
        <v/>
      </c>
      <c r="O65" t="str" cm="1">
        <f t="array" ref="O65">lambda_currentage(Family[[#This Row],[BirthDate]],Family[[#This Row],[DeathDate]],$B$3)</f>
        <v/>
      </c>
    </row>
    <row r="66" spans="1:15" x14ac:dyDescent="0.3">
      <c r="A66">
        <f>ROW()-ROW(Family[[#Headers],[PersonID]])</f>
        <v>61</v>
      </c>
      <c r="B66" s="3" t="s">
        <v>76</v>
      </c>
      <c r="C66" s="3"/>
      <c r="D66" s="3" t="s">
        <v>22</v>
      </c>
      <c r="E66" s="4"/>
      <c r="F66" s="4"/>
      <c r="G66" s="3" t="s">
        <v>44</v>
      </c>
      <c r="H66" s="3" t="s">
        <v>45</v>
      </c>
      <c r="I66" s="3" t="s">
        <v>20</v>
      </c>
      <c r="J66" s="3"/>
      <c r="K66" cm="1">
        <f t="array" ref="K66">_xlfn.XLOOKUP(Family[[#This Row],[Father]],Family[[Name]:[Name]],Family[[PersonID]:[PersonID]],"",0)</f>
        <v>24</v>
      </c>
      <c r="L66" cm="1">
        <f t="array" ref="L66">_xlfn.XLOOKUP(Family[[#This Row],[Mother]],Family[[Name]:[Name]],Family[[PersonID]:[PersonID]],"",0)</f>
        <v>25</v>
      </c>
      <c r="M66" t="str" cm="1">
        <f t="array" ref="M66">_xlfn.XLOOKUP(Family[[#This Row],[Spouse]],Family[[Name]:[Name]],Family[[PersonID]:[PersonID]],"",0)</f>
        <v/>
      </c>
      <c r="N66" t="str" cm="1">
        <f t="array" ref="N66">lambda_lifetimeage(Family[[#This Row],[BirthDate]],Family[[#This Row],[DeathDate]])</f>
        <v/>
      </c>
      <c r="O66" t="str" cm="1">
        <f t="array" ref="O66">lambda_currentage(Family[[#This Row],[BirthDate]],Family[[#This Row],[DeathDate]],$B$3)</f>
        <v/>
      </c>
    </row>
    <row r="67" spans="1:15" x14ac:dyDescent="0.3">
      <c r="A67">
        <f>ROW()-ROW(Family[[#Headers],[PersonID]])</f>
        <v>62</v>
      </c>
      <c r="B67" s="3" t="s">
        <v>77</v>
      </c>
      <c r="C67" s="3"/>
      <c r="D67" s="3" t="s">
        <v>22</v>
      </c>
      <c r="E67" s="4"/>
      <c r="F67" s="4"/>
      <c r="G67" s="3" t="s">
        <v>46</v>
      </c>
      <c r="H67" s="3" t="s">
        <v>47</v>
      </c>
      <c r="I67" s="3" t="s">
        <v>20</v>
      </c>
      <c r="J67" s="3"/>
      <c r="K67" cm="1">
        <f t="array" ref="K67">_xlfn.XLOOKUP(Family[[#This Row],[Father]],Family[[Name]:[Name]],Family[[PersonID]:[PersonID]],"",0)</f>
        <v>26</v>
      </c>
      <c r="L67" cm="1">
        <f t="array" ref="L67">_xlfn.XLOOKUP(Family[[#This Row],[Mother]],Family[[Name]:[Name]],Family[[PersonID]:[PersonID]],"",0)</f>
        <v>27</v>
      </c>
      <c r="M67" t="str" cm="1">
        <f t="array" ref="M67">_xlfn.XLOOKUP(Family[[#This Row],[Spouse]],Family[[Name]:[Name]],Family[[PersonID]:[PersonID]],"",0)</f>
        <v/>
      </c>
      <c r="N67" t="str" cm="1">
        <f t="array" ref="N67">lambda_lifetimeage(Family[[#This Row],[BirthDate]],Family[[#This Row],[DeathDate]])</f>
        <v/>
      </c>
      <c r="O67" t="str" cm="1">
        <f t="array" ref="O67">lambda_currentage(Family[[#This Row],[BirthDate]],Family[[#This Row],[DeathDate]],$B$3)</f>
        <v/>
      </c>
    </row>
    <row r="68" spans="1:15" x14ac:dyDescent="0.3">
      <c r="A68">
        <f>ROW()-ROW(Family[[#Headers],[PersonID]])</f>
        <v>63</v>
      </c>
      <c r="B68" s="3" t="s">
        <v>78</v>
      </c>
      <c r="C68" s="3"/>
      <c r="D68" s="3" t="s">
        <v>19</v>
      </c>
      <c r="E68" s="4"/>
      <c r="F68" s="4"/>
      <c r="G68" s="3" t="s">
        <v>46</v>
      </c>
      <c r="H68" s="3" t="s">
        <v>47</v>
      </c>
      <c r="I68" s="3" t="s">
        <v>20</v>
      </c>
      <c r="J68" s="3"/>
      <c r="K68" cm="1">
        <f t="array" ref="K68">_xlfn.XLOOKUP(Family[[#This Row],[Father]],Family[[Name]:[Name]],Family[[PersonID]:[PersonID]],"",0)</f>
        <v>26</v>
      </c>
      <c r="L68" cm="1">
        <f t="array" ref="L68">_xlfn.XLOOKUP(Family[[#This Row],[Mother]],Family[[Name]:[Name]],Family[[PersonID]:[PersonID]],"",0)</f>
        <v>27</v>
      </c>
      <c r="M68" t="str" cm="1">
        <f t="array" ref="M68">_xlfn.XLOOKUP(Family[[#This Row],[Spouse]],Family[[Name]:[Name]],Family[[PersonID]:[PersonID]],"",0)</f>
        <v/>
      </c>
      <c r="N68" t="str" cm="1">
        <f t="array" ref="N68">lambda_lifetimeage(Family[[#This Row],[BirthDate]],Family[[#This Row],[DeathDate]])</f>
        <v/>
      </c>
      <c r="O68" t="str" cm="1">
        <f t="array" ref="O68">lambda_currentage(Family[[#This Row],[BirthDate]],Family[[#This Row],[DeathDate]],$B$3)</f>
        <v/>
      </c>
    </row>
    <row r="69" spans="1:15" x14ac:dyDescent="0.3">
      <c r="A69">
        <f>ROW()-ROW(Family[[#Headers],[PersonID]])</f>
        <v>64</v>
      </c>
      <c r="B69" s="3" t="s">
        <v>79</v>
      </c>
      <c r="C69" s="3"/>
      <c r="D69" s="3" t="s">
        <v>19</v>
      </c>
      <c r="E69" s="4"/>
      <c r="F69" s="4"/>
      <c r="G69" s="3" t="s">
        <v>48</v>
      </c>
      <c r="H69" s="3" t="s">
        <v>49</v>
      </c>
      <c r="I69" s="3" t="s">
        <v>20</v>
      </c>
      <c r="J69" s="3"/>
      <c r="K69" cm="1">
        <f t="array" ref="K69">_xlfn.XLOOKUP(Family[[#This Row],[Father]],Family[[Name]:[Name]],Family[[PersonID]:[PersonID]],"",0)</f>
        <v>28</v>
      </c>
      <c r="L69" cm="1">
        <f t="array" ref="L69">_xlfn.XLOOKUP(Family[[#This Row],[Mother]],Family[[Name]:[Name]],Family[[PersonID]:[PersonID]],"",0)</f>
        <v>29</v>
      </c>
      <c r="M69" t="str" cm="1">
        <f t="array" ref="M69">_xlfn.XLOOKUP(Family[[#This Row],[Spouse]],Family[[Name]:[Name]],Family[[PersonID]:[PersonID]],"",0)</f>
        <v/>
      </c>
      <c r="N69" t="str" cm="1">
        <f t="array" ref="N69">lambda_lifetimeage(Family[[#This Row],[BirthDate]],Family[[#This Row],[DeathDate]])</f>
        <v/>
      </c>
      <c r="O69" t="str" cm="1">
        <f t="array" ref="O69">lambda_currentage(Family[[#This Row],[BirthDate]],Family[[#This Row],[DeathDate]],$B$3)</f>
        <v/>
      </c>
    </row>
    <row r="70" spans="1:15" x14ac:dyDescent="0.3">
      <c r="A70">
        <f>ROW()-ROW(Family[[#Headers],[PersonID]])</f>
        <v>65</v>
      </c>
      <c r="B70" s="3" t="s">
        <v>80</v>
      </c>
      <c r="C70" s="3"/>
      <c r="D70" s="3" t="s">
        <v>19</v>
      </c>
      <c r="E70" s="4"/>
      <c r="F70" s="4"/>
      <c r="G70" s="3" t="s">
        <v>50</v>
      </c>
      <c r="H70" s="3" t="s">
        <v>51</v>
      </c>
      <c r="I70" s="3" t="s">
        <v>20</v>
      </c>
      <c r="J70" s="3"/>
      <c r="K70" cm="1">
        <f t="array" ref="K70">_xlfn.XLOOKUP(Family[[#This Row],[Father]],Family[[Name]:[Name]],Family[[PersonID]:[PersonID]],"",0)</f>
        <v>30</v>
      </c>
      <c r="L70" cm="1">
        <f t="array" ref="L70">_xlfn.XLOOKUP(Family[[#This Row],[Mother]],Family[[Name]:[Name]],Family[[PersonID]:[PersonID]],"",0)</f>
        <v>31</v>
      </c>
      <c r="M70" t="str" cm="1">
        <f t="array" ref="M70">_xlfn.XLOOKUP(Family[[#This Row],[Spouse]],Family[[Name]:[Name]],Family[[PersonID]:[PersonID]],"",0)</f>
        <v/>
      </c>
      <c r="N70" t="str" cm="1">
        <f t="array" ref="N70">lambda_lifetimeage(Family[[#This Row],[BirthDate]],Family[[#This Row],[DeathDate]])</f>
        <v/>
      </c>
      <c r="O70" t="str" cm="1">
        <f t="array" ref="O70">lambda_currentage(Family[[#This Row],[BirthDate]],Family[[#This Row],[DeathDate]],$B$3)</f>
        <v/>
      </c>
    </row>
    <row r="71" spans="1:15" x14ac:dyDescent="0.3">
      <c r="A71">
        <f>ROW()-ROW(Family[[#Headers],[PersonID]])</f>
        <v>66</v>
      </c>
      <c r="B71" s="3" t="s">
        <v>81</v>
      </c>
      <c r="C71" s="3"/>
      <c r="D71" s="3" t="s">
        <v>22</v>
      </c>
      <c r="E71" s="4"/>
      <c r="F71" s="4"/>
      <c r="G71" s="3" t="s">
        <v>50</v>
      </c>
      <c r="H71" s="3" t="s">
        <v>51</v>
      </c>
      <c r="I71" s="3" t="s">
        <v>20</v>
      </c>
      <c r="J71" s="3"/>
      <c r="K71" cm="1">
        <f t="array" ref="K71">_xlfn.XLOOKUP(Family[[#This Row],[Father]],Family[[Name]:[Name]],Family[[PersonID]:[PersonID]],"",0)</f>
        <v>30</v>
      </c>
      <c r="L71" cm="1">
        <f t="array" ref="L71">_xlfn.XLOOKUP(Family[[#This Row],[Mother]],Family[[Name]:[Name]],Family[[PersonID]:[PersonID]],"",0)</f>
        <v>31</v>
      </c>
      <c r="M71" t="str" cm="1">
        <f t="array" ref="M71">_xlfn.XLOOKUP(Family[[#This Row],[Spouse]],Family[[Name]:[Name]],Family[[PersonID]:[PersonID]],"",0)</f>
        <v/>
      </c>
      <c r="N71" t="str" cm="1">
        <f t="array" ref="N71">lambda_lifetimeage(Family[[#This Row],[BirthDate]],Family[[#This Row],[DeathDate]])</f>
        <v/>
      </c>
      <c r="O71" t="str" cm="1">
        <f t="array" ref="O71">lambda_currentage(Family[[#This Row],[BirthDate]],Family[[#This Row],[DeathDate]],$B$3)</f>
        <v/>
      </c>
    </row>
    <row r="72" spans="1:15" x14ac:dyDescent="0.3">
      <c r="A72">
        <f>ROW()-ROW(Family[[#Headers],[PersonID]])</f>
        <v>67</v>
      </c>
      <c r="B72" s="3" t="s">
        <v>82</v>
      </c>
      <c r="C72" s="3"/>
      <c r="D72" s="3" t="s">
        <v>19</v>
      </c>
      <c r="E72" s="4"/>
      <c r="F72" s="4"/>
      <c r="G72" s="3" t="s">
        <v>52</v>
      </c>
      <c r="H72" s="3" t="s">
        <v>53</v>
      </c>
      <c r="I72" s="3" t="s">
        <v>20</v>
      </c>
      <c r="J72" s="3"/>
      <c r="K72" cm="1">
        <f t="array" ref="K72">_xlfn.XLOOKUP(Family[[#This Row],[Father]],Family[[Name]:[Name]],Family[[PersonID]:[PersonID]],"",0)</f>
        <v>32</v>
      </c>
      <c r="L72" cm="1">
        <f t="array" ref="L72">_xlfn.XLOOKUP(Family[[#This Row],[Mother]],Family[[Name]:[Name]],Family[[PersonID]:[PersonID]],"",0)</f>
        <v>33</v>
      </c>
      <c r="M72" t="str" cm="1">
        <f t="array" ref="M72">_xlfn.XLOOKUP(Family[[#This Row],[Spouse]],Family[[Name]:[Name]],Family[[PersonID]:[PersonID]],"",0)</f>
        <v/>
      </c>
      <c r="N72" t="str" cm="1">
        <f t="array" ref="N72">lambda_lifetimeage(Family[[#This Row],[BirthDate]],Family[[#This Row],[DeathDate]])</f>
        <v/>
      </c>
      <c r="O72" t="str" cm="1">
        <f t="array" ref="O72">lambda_currentage(Family[[#This Row],[BirthDate]],Family[[#This Row],[DeathDate]],$B$3)</f>
        <v/>
      </c>
    </row>
    <row r="73" spans="1:15" x14ac:dyDescent="0.3">
      <c r="A73">
        <f>ROW()-ROW(Family[[#Headers],[PersonID]])</f>
        <v>68</v>
      </c>
      <c r="B73" s="3" t="s">
        <v>83</v>
      </c>
      <c r="C73" s="3"/>
      <c r="D73" s="3" t="s">
        <v>22</v>
      </c>
      <c r="E73" s="4"/>
      <c r="F73" s="4"/>
      <c r="G73" s="3" t="s">
        <v>55</v>
      </c>
      <c r="H73" s="3" t="s">
        <v>20</v>
      </c>
      <c r="I73" s="3" t="s">
        <v>20</v>
      </c>
      <c r="J73" s="3"/>
      <c r="K73" cm="1">
        <f t="array" ref="K73">_xlfn.XLOOKUP(Family[[#This Row],[Father]],Family[[Name]:[Name]],Family[[PersonID]:[PersonID]],"",0)</f>
        <v>36</v>
      </c>
      <c r="L73" t="str" cm="1">
        <f t="array" ref="L73">_xlfn.XLOOKUP(Family[[#This Row],[Mother]],Family[[Name]:[Name]],Family[[PersonID]:[PersonID]],"",0)</f>
        <v/>
      </c>
      <c r="M73" t="str" cm="1">
        <f t="array" ref="M73">_xlfn.XLOOKUP(Family[[#This Row],[Spouse]],Family[[Name]:[Name]],Family[[PersonID]:[PersonID]],"",0)</f>
        <v/>
      </c>
      <c r="N73" t="str" cm="1">
        <f t="array" ref="N73">lambda_lifetimeage(Family[[#This Row],[BirthDate]],Family[[#This Row],[DeathDate]])</f>
        <v/>
      </c>
      <c r="O73" t="str" cm="1">
        <f t="array" ref="O73">lambda_currentage(Family[[#This Row],[BirthDate]],Family[[#This Row],[DeathDate]],$B$3)</f>
        <v/>
      </c>
    </row>
    <row r="74" spans="1:15" x14ac:dyDescent="0.3">
      <c r="A74">
        <f>ROW()-ROW(Family[[#Headers],[PersonID]])</f>
        <v>69</v>
      </c>
      <c r="B74" s="3" t="s">
        <v>84</v>
      </c>
      <c r="C74" s="3"/>
      <c r="D74" s="3" t="s">
        <v>19</v>
      </c>
      <c r="E74" s="4"/>
      <c r="F74" s="4"/>
      <c r="G74" s="3" t="s">
        <v>55</v>
      </c>
      <c r="H74" s="3" t="s">
        <v>20</v>
      </c>
      <c r="I74" s="3" t="s">
        <v>20</v>
      </c>
      <c r="J74" s="3"/>
      <c r="K74" cm="1">
        <f t="array" ref="K74">_xlfn.XLOOKUP(Family[[#This Row],[Father]],Family[[Name]:[Name]],Family[[PersonID]:[PersonID]],"",0)</f>
        <v>36</v>
      </c>
      <c r="L74" t="str" cm="1">
        <f t="array" ref="L74">_xlfn.XLOOKUP(Family[[#This Row],[Mother]],Family[[Name]:[Name]],Family[[PersonID]:[PersonID]],"",0)</f>
        <v/>
      </c>
      <c r="M74" t="str" cm="1">
        <f t="array" ref="M74">_xlfn.XLOOKUP(Family[[#This Row],[Spouse]],Family[[Name]:[Name]],Family[[PersonID]:[PersonID]],"",0)</f>
        <v/>
      </c>
      <c r="N74" t="str" cm="1">
        <f t="array" ref="N74">lambda_lifetimeage(Family[[#This Row],[BirthDate]],Family[[#This Row],[DeathDate]])</f>
        <v/>
      </c>
      <c r="O74" t="str" cm="1">
        <f t="array" ref="O74">lambda_currentage(Family[[#This Row],[BirthDate]],Family[[#This Row],[DeathDate]],$B$3)</f>
        <v/>
      </c>
    </row>
    <row r="75" spans="1:15" x14ac:dyDescent="0.3">
      <c r="A75">
        <f>ROW()-ROW(Family[[#Headers],[PersonID]])</f>
        <v>70</v>
      </c>
      <c r="B75" s="3" t="s">
        <v>85</v>
      </c>
      <c r="C75" s="3"/>
      <c r="D75" s="3" t="s">
        <v>19</v>
      </c>
      <c r="E75" s="4"/>
      <c r="F75" s="4"/>
      <c r="G75" s="3" t="s">
        <v>55</v>
      </c>
      <c r="H75" s="3" t="s">
        <v>20</v>
      </c>
      <c r="I75" s="3" t="s">
        <v>20</v>
      </c>
      <c r="J75" s="3"/>
      <c r="K75" cm="1">
        <f t="array" ref="K75">_xlfn.XLOOKUP(Family[[#This Row],[Father]],Family[[Name]:[Name]],Family[[PersonID]:[PersonID]],"",0)</f>
        <v>36</v>
      </c>
      <c r="L75" t="str" cm="1">
        <f t="array" ref="L75">_xlfn.XLOOKUP(Family[[#This Row],[Mother]],Family[[Name]:[Name]],Family[[PersonID]:[PersonID]],"",0)</f>
        <v/>
      </c>
      <c r="M75" t="str" cm="1">
        <f t="array" ref="M75">_xlfn.XLOOKUP(Family[[#This Row],[Spouse]],Family[[Name]:[Name]],Family[[PersonID]:[PersonID]],"",0)</f>
        <v/>
      </c>
      <c r="N75" t="str" cm="1">
        <f t="array" ref="N75">lambda_lifetimeage(Family[[#This Row],[BirthDate]],Family[[#This Row],[DeathDate]])</f>
        <v/>
      </c>
      <c r="O75" t="str" cm="1">
        <f t="array" ref="O75">lambda_currentage(Family[[#This Row],[BirthDate]],Family[[#This Row],[DeathDate]],$B$3)</f>
        <v/>
      </c>
    </row>
    <row r="76" spans="1:15" x14ac:dyDescent="0.3">
      <c r="A76">
        <f>ROW()-ROW(Family[[#Headers],[PersonID]])</f>
        <v>71</v>
      </c>
      <c r="B76" s="3" t="s">
        <v>86</v>
      </c>
      <c r="C76" s="3"/>
      <c r="D76" s="3" t="s">
        <v>22</v>
      </c>
      <c r="E76" s="4"/>
      <c r="F76" s="4"/>
      <c r="G76" s="3" t="s">
        <v>59</v>
      </c>
      <c r="H76" s="3" t="s">
        <v>60</v>
      </c>
      <c r="I76" s="3" t="s">
        <v>20</v>
      </c>
      <c r="J76" s="3"/>
      <c r="K76" cm="1">
        <f t="array" ref="K76">_xlfn.XLOOKUP(Family[[#This Row],[Father]],Family[[Name]:[Name]],Family[[PersonID]:[PersonID]],"",0)</f>
        <v>40</v>
      </c>
      <c r="L76" cm="1">
        <f t="array" ref="L76">_xlfn.XLOOKUP(Family[[#This Row],[Mother]],Family[[Name]:[Name]],Family[[PersonID]:[PersonID]],"",0)</f>
        <v>41</v>
      </c>
      <c r="M76" t="str" cm="1">
        <f t="array" ref="M76">_xlfn.XLOOKUP(Family[[#This Row],[Spouse]],Family[[Name]:[Name]],Family[[PersonID]:[PersonID]],"",0)</f>
        <v/>
      </c>
      <c r="N76" t="str" cm="1">
        <f t="array" ref="N76">lambda_lifetimeage(Family[[#This Row],[BirthDate]],Family[[#This Row],[DeathDate]])</f>
        <v/>
      </c>
      <c r="O76" t="str" cm="1">
        <f t="array" ref="O76">lambda_currentage(Family[[#This Row],[BirthDate]],Family[[#This Row],[DeathDate]],$B$3)</f>
        <v/>
      </c>
    </row>
    <row r="77" spans="1:15" x14ac:dyDescent="0.3">
      <c r="A77">
        <f>ROW()-ROW(Family[[#Headers],[PersonID]])</f>
        <v>72</v>
      </c>
      <c r="B77" s="3" t="s">
        <v>102</v>
      </c>
      <c r="C77" s="3"/>
      <c r="D77" s="3" t="s">
        <v>22</v>
      </c>
      <c r="E77" s="4"/>
      <c r="F77" s="4"/>
      <c r="G77" s="3" t="s">
        <v>65</v>
      </c>
      <c r="H77" s="3" t="s">
        <v>66</v>
      </c>
      <c r="I77" s="3" t="s">
        <v>20</v>
      </c>
      <c r="J77" s="3"/>
      <c r="K77" cm="1">
        <f t="array" ref="K77">_xlfn.XLOOKUP(Family[[#This Row],[Father]],Family[[Name]:[Name]],Family[[PersonID]:[PersonID]],"",0)</f>
        <v>46</v>
      </c>
      <c r="L77" cm="1">
        <f t="array" ref="L77">_xlfn.XLOOKUP(Family[[#This Row],[Mother]],Family[[Name]:[Name]],Family[[PersonID]:[PersonID]],"",0)</f>
        <v>47</v>
      </c>
      <c r="M77" t="str" cm="1">
        <f t="array" ref="M77">_xlfn.XLOOKUP(Family[[#This Row],[Spouse]],Family[[Name]:[Name]],Family[[PersonID]:[PersonID]],"",0)</f>
        <v/>
      </c>
      <c r="N77" t="str" cm="1">
        <f t="array" ref="N77">lambda_lifetimeage(Family[[#This Row],[BirthDate]],Family[[#This Row],[DeathDate]])</f>
        <v/>
      </c>
      <c r="O77" t="str" cm="1">
        <f t="array" ref="O77">lambda_currentage(Family[[#This Row],[BirthDate]],Family[[#This Row],[DeathDate]],$B$3)</f>
        <v/>
      </c>
    </row>
    <row r="78" spans="1:15" x14ac:dyDescent="0.3">
      <c r="A78">
        <f>ROW()-ROW(Family[[#Headers],[PersonID]])</f>
        <v>73</v>
      </c>
      <c r="B78" s="3" t="s">
        <v>103</v>
      </c>
      <c r="C78" s="3"/>
      <c r="D78" s="3" t="s">
        <v>19</v>
      </c>
      <c r="E78" s="4"/>
      <c r="F78" s="4"/>
      <c r="G78" s="3" t="s">
        <v>65</v>
      </c>
      <c r="H78" s="3" t="s">
        <v>66</v>
      </c>
      <c r="I78" s="3" t="s">
        <v>20</v>
      </c>
      <c r="J78" s="3"/>
      <c r="K78" cm="1">
        <f t="array" ref="K78">_xlfn.XLOOKUP(Family[[#This Row],[Father]],Family[[Name]:[Name]],Family[[PersonID]:[PersonID]],"",0)</f>
        <v>46</v>
      </c>
      <c r="L78" cm="1">
        <f t="array" ref="L78">_xlfn.XLOOKUP(Family[[#This Row],[Mother]],Family[[Name]:[Name]],Family[[PersonID]:[PersonID]],"",0)</f>
        <v>47</v>
      </c>
      <c r="M78" t="str" cm="1">
        <f t="array" ref="M78">_xlfn.XLOOKUP(Family[[#This Row],[Spouse]],Family[[Name]:[Name]],Family[[PersonID]:[PersonID]],"",0)</f>
        <v/>
      </c>
      <c r="N78" t="str" cm="1">
        <f t="array" ref="N78">lambda_lifetimeage(Family[[#This Row],[BirthDate]],Family[[#This Row],[DeathDate]])</f>
        <v/>
      </c>
      <c r="O78" t="str" cm="1">
        <f t="array" ref="O78">lambda_currentage(Family[[#This Row],[BirthDate]],Family[[#This Row],[DeathDate]],$B$3)</f>
        <v/>
      </c>
    </row>
    <row r="79" spans="1:15" x14ac:dyDescent="0.3">
      <c r="A79">
        <f>ROW()-ROW(Family[[#Headers],[PersonID]])</f>
        <v>74</v>
      </c>
      <c r="B79" s="3" t="s">
        <v>104</v>
      </c>
      <c r="C79" s="3"/>
      <c r="D79" s="3" t="s">
        <v>22</v>
      </c>
      <c r="E79" s="4"/>
      <c r="F79" s="4"/>
      <c r="G79" s="3" t="s">
        <v>105</v>
      </c>
      <c r="H79" s="3" t="s">
        <v>100</v>
      </c>
      <c r="I79" s="3" t="s">
        <v>20</v>
      </c>
      <c r="J79" s="3"/>
      <c r="K79" cm="1">
        <f t="array" ref="K79">_xlfn.XLOOKUP(Family[[#This Row],[Father]],Family[[Name]:[Name]],Family[[PersonID]:[PersonID]],"",0)</f>
        <v>48</v>
      </c>
      <c r="L79" cm="1">
        <f t="array" ref="L79">_xlfn.XLOOKUP(Family[[#This Row],[Mother]],Family[[Name]:[Name]],Family[[PersonID]:[PersonID]],"",0)</f>
        <v>49</v>
      </c>
      <c r="M79" t="str" cm="1">
        <f t="array" ref="M79">_xlfn.XLOOKUP(Family[[#This Row],[Spouse]],Family[[Name]:[Name]],Family[[PersonID]:[PersonID]],"",0)</f>
        <v/>
      </c>
      <c r="N79" t="str" cm="1">
        <f t="array" ref="N79">lambda_lifetimeage(Family[[#This Row],[BirthDate]],Family[[#This Row],[DeathDate]])</f>
        <v/>
      </c>
      <c r="O79" t="str" cm="1">
        <f t="array" ref="O79">lambda_currentage(Family[[#This Row],[BirthDate]],Family[[#This Row],[DeathDate]],$B$3)</f>
        <v/>
      </c>
    </row>
    <row r="80" spans="1:15" x14ac:dyDescent="0.3">
      <c r="A80">
        <f>ROW()-ROW(Family[[#Headers],[PersonID]])</f>
        <v>75</v>
      </c>
      <c r="B80" s="3" t="s">
        <v>87</v>
      </c>
      <c r="C80" s="3"/>
      <c r="D80" s="3" t="s">
        <v>19</v>
      </c>
      <c r="E80" s="4"/>
      <c r="F80" s="4"/>
      <c r="G80" s="3" t="s">
        <v>67</v>
      </c>
      <c r="H80" s="3"/>
      <c r="I80" s="3" t="s">
        <v>20</v>
      </c>
      <c r="J80" s="3"/>
      <c r="K80" cm="1">
        <f t="array" ref="K80">_xlfn.XLOOKUP(Family[[#This Row],[Father]],Family[[Name]:[Name]],Family[[PersonID]:[PersonID]],"",0)</f>
        <v>50</v>
      </c>
      <c r="L80" t="str" cm="1">
        <f t="array" ref="L80">_xlfn.XLOOKUP(Family[[#This Row],[Mother]],Family[[Name]:[Name]],Family[[PersonID]:[PersonID]],"",0)</f>
        <v/>
      </c>
      <c r="M80" t="str" cm="1">
        <f t="array" ref="M80">_xlfn.XLOOKUP(Family[[#This Row],[Spouse]],Family[[Name]:[Name]],Family[[PersonID]:[PersonID]],"",0)</f>
        <v/>
      </c>
      <c r="N80" t="str" cm="1">
        <f t="array" ref="N80">lambda_lifetimeage(Family[[#This Row],[BirthDate]],Family[[#This Row],[DeathDate]])</f>
        <v/>
      </c>
      <c r="O80" t="str" cm="1">
        <f t="array" ref="O80">lambda_currentage(Family[[#This Row],[BirthDate]],Family[[#This Row],[DeathDate]],$B$3)</f>
        <v/>
      </c>
    </row>
    <row r="81" spans="1:15" x14ac:dyDescent="0.3">
      <c r="A81">
        <f>ROW()-ROW(Family[[#Headers],[PersonID]])</f>
        <v>76</v>
      </c>
      <c r="B81" s="3" t="s">
        <v>88</v>
      </c>
      <c r="C81" s="3"/>
      <c r="D81" s="3" t="s">
        <v>19</v>
      </c>
      <c r="E81" s="4"/>
      <c r="F81" s="4"/>
      <c r="G81" s="3" t="s">
        <v>67</v>
      </c>
      <c r="H81" s="3"/>
      <c r="I81" s="3" t="s">
        <v>20</v>
      </c>
      <c r="J81" s="3"/>
      <c r="K81" cm="1">
        <f t="array" ref="K81">_xlfn.XLOOKUP(Family[[#This Row],[Father]],Family[[Name]:[Name]],Family[[PersonID]:[PersonID]],"",0)</f>
        <v>50</v>
      </c>
      <c r="L81" t="str" cm="1">
        <f t="array" ref="L81">_xlfn.XLOOKUP(Family[[#This Row],[Mother]],Family[[Name]:[Name]],Family[[PersonID]:[PersonID]],"",0)</f>
        <v/>
      </c>
      <c r="M81" t="str" cm="1">
        <f t="array" ref="M81">_xlfn.XLOOKUP(Family[[#This Row],[Spouse]],Family[[Name]:[Name]],Family[[PersonID]:[PersonID]],"",0)</f>
        <v/>
      </c>
      <c r="N81" t="str" cm="1">
        <f t="array" ref="N81">lambda_lifetimeage(Family[[#This Row],[BirthDate]],Family[[#This Row],[DeathDate]])</f>
        <v/>
      </c>
      <c r="O81" t="str" cm="1">
        <f t="array" ref="O81">lambda_currentage(Family[[#This Row],[BirthDate]],Family[[#This Row],[DeathDate]],$B$3)</f>
        <v/>
      </c>
    </row>
    <row r="82" spans="1:15" x14ac:dyDescent="0.3">
      <c r="A82">
        <f>ROW()-ROW(Family[[#Headers],[PersonID]])</f>
        <v>77</v>
      </c>
      <c r="B82" s="3" t="s">
        <v>89</v>
      </c>
      <c r="C82" s="3"/>
      <c r="D82" s="3" t="s">
        <v>19</v>
      </c>
      <c r="E82" s="4"/>
      <c r="F82" s="4"/>
      <c r="G82" s="3" t="s">
        <v>67</v>
      </c>
      <c r="H82" s="3"/>
      <c r="I82" s="3" t="s">
        <v>20</v>
      </c>
      <c r="J82" s="3"/>
      <c r="K82" cm="1">
        <f t="array" ref="K82">_xlfn.XLOOKUP(Family[[#This Row],[Father]],Family[[Name]:[Name]],Family[[PersonID]:[PersonID]],"",0)</f>
        <v>50</v>
      </c>
      <c r="L82" t="str" cm="1">
        <f t="array" ref="L82">_xlfn.XLOOKUP(Family[[#This Row],[Mother]],Family[[Name]:[Name]],Family[[PersonID]:[PersonID]],"",0)</f>
        <v/>
      </c>
      <c r="M82" t="str" cm="1">
        <f t="array" ref="M82">_xlfn.XLOOKUP(Family[[#This Row],[Spouse]],Family[[Name]:[Name]],Family[[PersonID]:[PersonID]],"",0)</f>
        <v/>
      </c>
      <c r="N82" t="str" cm="1">
        <f t="array" ref="N82">lambda_lifetimeage(Family[[#This Row],[BirthDate]],Family[[#This Row],[DeathDate]])</f>
        <v/>
      </c>
      <c r="O82" t="str" cm="1">
        <f t="array" ref="O82">lambda_currentage(Family[[#This Row],[BirthDate]],Family[[#This Row],[DeathDate]],$B$3)</f>
        <v/>
      </c>
    </row>
    <row r="83" spans="1:15" x14ac:dyDescent="0.3">
      <c r="A83">
        <f>ROW()-ROW(Family[[#Headers],[PersonID]])</f>
        <v>78</v>
      </c>
      <c r="B83" s="3" t="s">
        <v>90</v>
      </c>
      <c r="C83" s="3"/>
      <c r="D83" s="3" t="s">
        <v>22</v>
      </c>
      <c r="E83" s="4"/>
      <c r="F83" s="4"/>
      <c r="G83" s="3" t="s">
        <v>67</v>
      </c>
      <c r="H83" s="3"/>
      <c r="I83" s="3" t="s">
        <v>20</v>
      </c>
      <c r="J83" s="3"/>
      <c r="K83" cm="1">
        <f t="array" ref="K83">_xlfn.XLOOKUP(Family[[#This Row],[Father]],Family[[Name]:[Name]],Family[[PersonID]:[PersonID]],"",0)</f>
        <v>50</v>
      </c>
      <c r="L83" t="str" cm="1">
        <f t="array" ref="L83">_xlfn.XLOOKUP(Family[[#This Row],[Mother]],Family[[Name]:[Name]],Family[[PersonID]:[PersonID]],"",0)</f>
        <v/>
      </c>
      <c r="M83" t="str" cm="1">
        <f t="array" ref="M83">_xlfn.XLOOKUP(Family[[#This Row],[Spouse]],Family[[Name]:[Name]],Family[[PersonID]:[PersonID]],"",0)</f>
        <v/>
      </c>
      <c r="N83" t="str" cm="1">
        <f t="array" ref="N83">lambda_lifetimeage(Family[[#This Row],[BirthDate]],Family[[#This Row],[DeathDate]])</f>
        <v/>
      </c>
      <c r="O83" t="str" cm="1">
        <f t="array" ref="O83">lambda_currentage(Family[[#This Row],[BirthDate]],Family[[#This Row],[DeathDate]],$B$3)</f>
        <v/>
      </c>
    </row>
    <row r="84" spans="1:15" x14ac:dyDescent="0.3">
      <c r="A84">
        <f>ROW()-ROW(Family[[#Headers],[PersonID]])</f>
        <v>79</v>
      </c>
      <c r="B84" s="3" t="s">
        <v>91</v>
      </c>
      <c r="C84" s="3"/>
      <c r="D84" s="3" t="s">
        <v>22</v>
      </c>
      <c r="E84" s="4"/>
      <c r="F84" s="4"/>
      <c r="G84" s="3" t="s">
        <v>20</v>
      </c>
      <c r="H84" s="3" t="s">
        <v>68</v>
      </c>
      <c r="I84" s="3" t="s">
        <v>20</v>
      </c>
      <c r="J84" s="3"/>
      <c r="K84" t="str" cm="1">
        <f t="array" ref="K84">_xlfn.XLOOKUP(Family[[#This Row],[Father]],Family[[Name]:[Name]],Family[[PersonID]:[PersonID]],"",0)</f>
        <v/>
      </c>
      <c r="L84" cm="1">
        <f t="array" ref="L84">_xlfn.XLOOKUP(Family[[#This Row],[Mother]],Family[[Name]:[Name]],Family[[PersonID]:[PersonID]],"",0)</f>
        <v>51</v>
      </c>
      <c r="M84" t="str" cm="1">
        <f t="array" ref="M84">_xlfn.XLOOKUP(Family[[#This Row],[Spouse]],Family[[Name]:[Name]],Family[[PersonID]:[PersonID]],"",0)</f>
        <v/>
      </c>
      <c r="N84" t="str" cm="1">
        <f t="array" ref="N84">lambda_lifetimeage(Family[[#This Row],[BirthDate]],Family[[#This Row],[DeathDate]])</f>
        <v/>
      </c>
      <c r="O84" t="str" cm="1">
        <f t="array" ref="O84">lambda_currentage(Family[[#This Row],[BirthDate]],Family[[#This Row],[DeathDate]],$B$3)</f>
        <v/>
      </c>
    </row>
    <row r="85" spans="1:15" x14ac:dyDescent="0.3">
      <c r="A85">
        <f>ROW()-ROW(Family[[#Headers],[PersonID]])</f>
        <v>80</v>
      </c>
      <c r="B85" s="3" t="s">
        <v>94</v>
      </c>
      <c r="C85" s="3"/>
      <c r="D85" s="3" t="s">
        <v>22</v>
      </c>
      <c r="E85" s="4">
        <v>41817</v>
      </c>
      <c r="F85" s="4"/>
      <c r="G85" s="3" t="s">
        <v>69</v>
      </c>
      <c r="H85" s="3" t="s">
        <v>101</v>
      </c>
      <c r="I85" s="3" t="s">
        <v>20</v>
      </c>
      <c r="J85" s="3"/>
      <c r="K85" cm="1">
        <f t="array" ref="K85">_xlfn.XLOOKUP(Family[[#This Row],[Father]],Family[[Name]:[Name]],Family[[PersonID]:[PersonID]],"",0)</f>
        <v>52</v>
      </c>
      <c r="L85" cm="1">
        <f t="array" ref="L85">_xlfn.XLOOKUP(Family[[#This Row],[Mother]],Family[[Name]:[Name]],Family[[PersonID]:[PersonID]],"",0)</f>
        <v>53</v>
      </c>
      <c r="M85" t="str" cm="1">
        <f t="array" ref="M85">_xlfn.XLOOKUP(Family[[#This Row],[Spouse]],Family[[Name]:[Name]],Family[[PersonID]:[PersonID]],"",0)</f>
        <v/>
      </c>
      <c r="N85" t="str" cm="1">
        <f t="array" ref="N85">lambda_lifetimeage(Family[[#This Row],[BirthDate]],Family[[#This Row],[DeathDate]])</f>
        <v/>
      </c>
      <c r="O85" t="str" cm="1">
        <f t="array" aca="1" ref="O85" ca="1">lambda_currentage(Family[[#This Row],[BirthDate]],Family[[#This Row],[DeathDate]],$B$3)</f>
        <v>11 years, 7 months, 22 days</v>
      </c>
    </row>
    <row r="86" spans="1:15" x14ac:dyDescent="0.3">
      <c r="A86">
        <f>ROW()-ROW(Family[[#Headers],[PersonID]])</f>
        <v>81</v>
      </c>
      <c r="B86" s="3" t="s">
        <v>95</v>
      </c>
      <c r="C86" s="3"/>
      <c r="D86" s="3" t="s">
        <v>22</v>
      </c>
      <c r="E86" s="4">
        <v>44335</v>
      </c>
      <c r="F86" s="4">
        <v>45164</v>
      </c>
      <c r="G86" s="4" t="s">
        <v>69</v>
      </c>
      <c r="H86" s="3" t="s">
        <v>101</v>
      </c>
      <c r="I86" s="4"/>
      <c r="J86" s="3"/>
      <c r="K86" cm="1">
        <f t="array" ref="K86">_xlfn.XLOOKUP(Family[[#This Row],[Father]],Family[[Name]:[Name]],Family[[PersonID]:[PersonID]],"",0)</f>
        <v>52</v>
      </c>
      <c r="L86" cm="1">
        <f t="array" ref="L86">_xlfn.XLOOKUP(Family[[#This Row],[Mother]],Family[[Name]:[Name]],Family[[PersonID]:[PersonID]],"",0)</f>
        <v>53</v>
      </c>
      <c r="M86" t="str" cm="1">
        <f t="array" ref="M86">_xlfn.XLOOKUP(Family[[#This Row],[Spouse]],Family[[Name]:[Name]],Family[[PersonID]:[PersonID]],"",0)</f>
        <v/>
      </c>
      <c r="N86" t="str" cm="1">
        <f t="array" ref="N86">lambda_lifetimeage(Family[[#This Row],[BirthDate]],Family[[#This Row],[DeathDate]])</f>
        <v>2 years, 3 months, 7 days</v>
      </c>
      <c r="O86" t="str" cm="1">
        <f t="array" ref="O86">lambda_currentage(Family[[#This Row],[BirthDate]],Family[[#This Row],[DeathDate]],$B$3)</f>
        <v/>
      </c>
    </row>
    <row r="87" spans="1:15" x14ac:dyDescent="0.3">
      <c r="A87">
        <f>ROW()-ROW(Family[[#Headers],[PersonID]])</f>
        <v>82</v>
      </c>
      <c r="B87" s="3" t="s">
        <v>96</v>
      </c>
      <c r="C87" s="3"/>
      <c r="D87" s="3" t="s">
        <v>22</v>
      </c>
      <c r="E87" s="4">
        <v>45188</v>
      </c>
      <c r="F87" s="4"/>
      <c r="G87" s="4" t="s">
        <v>69</v>
      </c>
      <c r="H87" s="3" t="s">
        <v>101</v>
      </c>
      <c r="I87" s="4"/>
      <c r="J87" s="3"/>
      <c r="K87" cm="1">
        <f t="array" ref="K87">_xlfn.XLOOKUP(Family[[#This Row],[Father]],Family[[Name]:[Name]],Family[[PersonID]:[PersonID]],"",0)</f>
        <v>52</v>
      </c>
      <c r="L87" cm="1">
        <f t="array" ref="L87">_xlfn.XLOOKUP(Family[[#This Row],[Mother]],Family[[Name]:[Name]],Family[[PersonID]:[PersonID]],"",0)</f>
        <v>53</v>
      </c>
      <c r="M87" t="str" cm="1">
        <f t="array" ref="M87">_xlfn.XLOOKUP(Family[[#This Row],[Spouse]],Family[[Name]:[Name]],Family[[PersonID]:[PersonID]],"",0)</f>
        <v/>
      </c>
      <c r="N87" t="str" cm="1">
        <f t="array" ref="N87">lambda_lifetimeage(Family[[#This Row],[BirthDate]],Family[[#This Row],[DeathDate]])</f>
        <v/>
      </c>
      <c r="O87" t="str" cm="1">
        <f t="array" aca="1" ref="O87" ca="1">lambda_currentage(Family[[#This Row],[BirthDate]],Family[[#This Row],[DeathDate]],$B$3)</f>
        <v>2 years, 4 months, 30 days</v>
      </c>
    </row>
    <row r="88" spans="1:15" x14ac:dyDescent="0.3">
      <c r="A88">
        <f>ROW()-ROW(Family[[#Headers],[PersonID]])</f>
        <v>83</v>
      </c>
      <c r="B88" s="3" t="s">
        <v>98</v>
      </c>
      <c r="C88" s="3"/>
      <c r="D88" s="3" t="s">
        <v>22</v>
      </c>
      <c r="E88" s="4"/>
      <c r="F88" s="4"/>
      <c r="G88" s="4" t="s">
        <v>70</v>
      </c>
      <c r="H88" s="4" t="s">
        <v>71</v>
      </c>
      <c r="I88" s="4"/>
      <c r="J88" s="3"/>
      <c r="K88" cm="1">
        <f t="array" ref="K88">_xlfn.XLOOKUP(Family[[#This Row],[Father]],Family[[Name]:[Name]],Family[[PersonID]:[PersonID]],"",0)</f>
        <v>54</v>
      </c>
      <c r="L88" cm="1">
        <f t="array" ref="L88">_xlfn.XLOOKUP(Family[[#This Row],[Mother]],Family[[Name]:[Name]],Family[[PersonID]:[PersonID]],"",0)</f>
        <v>55</v>
      </c>
      <c r="M88" t="str" cm="1">
        <f t="array" ref="M88">_xlfn.XLOOKUP(Family[[#This Row],[Spouse]],Family[[Name]:[Name]],Family[[PersonID]:[PersonID]],"",0)</f>
        <v/>
      </c>
      <c r="N88" t="str" cm="1">
        <f t="array" ref="N88">lambda_lifetimeage(Family[[#This Row],[BirthDate]],Family[[#This Row],[DeathDate]])</f>
        <v/>
      </c>
      <c r="O88" t="str" cm="1">
        <f t="array" ref="O88">lambda_currentage(Family[[#This Row],[BirthDate]],Family[[#This Row],[DeathDate]],$B$3)</f>
        <v/>
      </c>
    </row>
    <row r="89" spans="1:15" x14ac:dyDescent="0.3">
      <c r="B89" s="3"/>
      <c r="C89" s="3"/>
      <c r="D89" s="3"/>
      <c r="E89" s="4"/>
      <c r="F89" s="4"/>
      <c r="G89" s="3"/>
      <c r="H89" s="3"/>
      <c r="I89" s="3"/>
      <c r="J89" s="3"/>
    </row>
    <row r="90" spans="1:15" x14ac:dyDescent="0.3">
      <c r="B90" s="3"/>
      <c r="C90" s="3"/>
      <c r="D90" s="3"/>
      <c r="E90" s="4"/>
      <c r="F90" s="4"/>
      <c r="G90" s="3"/>
      <c r="H90" s="3"/>
      <c r="I90" s="3"/>
      <c r="J90" s="3"/>
    </row>
    <row r="91" spans="1:15" x14ac:dyDescent="0.3">
      <c r="B91" s="3"/>
      <c r="C91" s="3"/>
      <c r="D91" s="3"/>
      <c r="E91" s="4"/>
      <c r="F91" s="4"/>
      <c r="G91" s="3"/>
      <c r="H91" s="3"/>
      <c r="I91" s="3"/>
      <c r="J91" s="3"/>
    </row>
    <row r="92" spans="1:15" x14ac:dyDescent="0.3">
      <c r="B92" s="3"/>
      <c r="C92" s="3"/>
      <c r="D92" s="3"/>
      <c r="E92" s="4"/>
      <c r="F92" s="4"/>
      <c r="G92" s="3"/>
      <c r="H92" s="3"/>
      <c r="I92" s="3"/>
      <c r="J92" s="3"/>
    </row>
    <row r="93" spans="1:15" x14ac:dyDescent="0.3">
      <c r="B93" s="3"/>
      <c r="C93" s="3"/>
      <c r="D93" s="3"/>
      <c r="E93" s="4"/>
      <c r="F93" s="4"/>
      <c r="G93" s="3"/>
      <c r="H93" s="3"/>
      <c r="I93" s="3"/>
      <c r="J93" s="3"/>
    </row>
    <row r="94" spans="1:15" x14ac:dyDescent="0.3">
      <c r="B94" s="3"/>
      <c r="C94" s="3"/>
      <c r="D94" s="3"/>
      <c r="E94" s="4"/>
      <c r="F94" s="4"/>
      <c r="G94" s="3"/>
      <c r="H94" s="3"/>
      <c r="I94" s="3"/>
      <c r="J94" s="3"/>
    </row>
    <row r="95" spans="1:15" x14ac:dyDescent="0.3">
      <c r="B95" s="3"/>
      <c r="C95" s="3"/>
      <c r="D95" s="3"/>
      <c r="E95" s="4"/>
      <c r="F95" s="4"/>
      <c r="G95" s="3"/>
      <c r="H95" s="3"/>
      <c r="I95" s="3"/>
      <c r="J95" s="3"/>
    </row>
    <row r="96" spans="1:15" x14ac:dyDescent="0.3">
      <c r="B96" s="3"/>
      <c r="C96" s="3"/>
      <c r="D96" s="3"/>
      <c r="E96" s="4"/>
      <c r="F96" s="4"/>
      <c r="G96" s="3"/>
      <c r="H96" s="3"/>
      <c r="I96" s="3"/>
      <c r="J96" s="3"/>
    </row>
    <row r="97" spans="2:10" x14ac:dyDescent="0.3">
      <c r="B97" s="3"/>
      <c r="C97" s="3"/>
      <c r="D97" s="3"/>
      <c r="E97" s="4"/>
      <c r="F97" s="4"/>
      <c r="G97" s="3"/>
      <c r="H97" s="3"/>
      <c r="I97" s="3"/>
      <c r="J97" s="3"/>
    </row>
    <row r="98" spans="2:10" x14ac:dyDescent="0.3">
      <c r="B98" s="3"/>
      <c r="C98" s="3"/>
      <c r="D98" s="3"/>
      <c r="E98" s="4"/>
      <c r="F98" s="4"/>
      <c r="G98" s="3"/>
      <c r="H98" s="3"/>
      <c r="I98" s="3"/>
      <c r="J98" s="3"/>
    </row>
    <row r="99" spans="2:10" x14ac:dyDescent="0.3">
      <c r="B99" s="3"/>
      <c r="C99" s="3"/>
      <c r="D99" s="3"/>
      <c r="E99" s="4"/>
      <c r="F99" s="4"/>
      <c r="G99" s="3"/>
      <c r="H99" s="3"/>
      <c r="I99" s="3"/>
      <c r="J99" s="3"/>
    </row>
    <row r="100" spans="2:10" x14ac:dyDescent="0.3">
      <c r="B100" s="3"/>
      <c r="C100" s="3"/>
      <c r="D100" s="3"/>
      <c r="E100" s="4"/>
      <c r="F100" s="4"/>
      <c r="G100" s="3"/>
      <c r="H100" s="3"/>
      <c r="I100" s="3"/>
      <c r="J100" s="3"/>
    </row>
    <row r="101" spans="2:10" x14ac:dyDescent="0.3">
      <c r="B101" s="3"/>
      <c r="C101" s="3"/>
      <c r="D101" s="3"/>
      <c r="E101" s="4"/>
      <c r="F101" s="4"/>
      <c r="G101" s="3"/>
      <c r="H101" s="3"/>
      <c r="I101" s="3"/>
      <c r="J101" s="3"/>
    </row>
    <row r="102" spans="2:10" x14ac:dyDescent="0.3">
      <c r="B102" s="3"/>
      <c r="C102" s="3"/>
      <c r="D102" s="3"/>
      <c r="E102" s="4"/>
      <c r="F102" s="4"/>
      <c r="G102" s="3"/>
      <c r="H102" s="3"/>
      <c r="I102" s="3"/>
      <c r="J102" s="3"/>
    </row>
    <row r="103" spans="2:10" x14ac:dyDescent="0.3">
      <c r="B103" s="3"/>
      <c r="C103" s="3"/>
      <c r="D103" s="3"/>
      <c r="E103" s="4"/>
      <c r="F103" s="4"/>
      <c r="G103" s="3"/>
      <c r="H103" s="3"/>
      <c r="I103" s="3"/>
      <c r="J103" s="3"/>
    </row>
    <row r="104" spans="2:10" x14ac:dyDescent="0.3">
      <c r="B104" s="3"/>
      <c r="C104" s="3"/>
      <c r="D104" s="3"/>
      <c r="E104" s="4"/>
      <c r="F104" s="4"/>
      <c r="G104" s="3"/>
      <c r="H104" s="3"/>
      <c r="I104" s="3"/>
      <c r="J104" s="3"/>
    </row>
    <row r="105" spans="2:10" x14ac:dyDescent="0.3">
      <c r="B105" s="3"/>
      <c r="C105" s="3"/>
      <c r="D105" s="3"/>
      <c r="E105" s="4"/>
      <c r="F105" s="4"/>
      <c r="G105" s="3"/>
      <c r="H105" s="3"/>
      <c r="I105" s="3"/>
      <c r="J105" s="3"/>
    </row>
    <row r="106" spans="2:10" x14ac:dyDescent="0.3">
      <c r="B106" s="3"/>
      <c r="C106" s="3"/>
      <c r="D106" s="3"/>
      <c r="E106" s="4"/>
      <c r="F106" s="4"/>
      <c r="G106" s="3"/>
      <c r="H106" s="3"/>
      <c r="I106" s="3"/>
      <c r="J106" s="3"/>
    </row>
    <row r="107" spans="2:10" x14ac:dyDescent="0.3">
      <c r="B107" s="3"/>
      <c r="C107" s="3"/>
      <c r="D107" s="3"/>
      <c r="E107" s="4"/>
      <c r="F107" s="4"/>
      <c r="G107" s="3"/>
      <c r="H107" s="3"/>
      <c r="I107" s="3"/>
      <c r="J107" s="3"/>
    </row>
    <row r="108" spans="2:10" x14ac:dyDescent="0.3">
      <c r="B108" s="3"/>
      <c r="C108" s="3"/>
      <c r="D108" s="3"/>
      <c r="E108" s="4"/>
      <c r="F108" s="4"/>
      <c r="G108" s="3"/>
      <c r="H108" s="3"/>
      <c r="I108" s="3"/>
      <c r="J108" s="3"/>
    </row>
    <row r="109" spans="2:10" x14ac:dyDescent="0.3">
      <c r="B109" s="3"/>
      <c r="C109" s="3"/>
      <c r="D109" s="3"/>
      <c r="E109" s="4"/>
      <c r="F109" s="4"/>
      <c r="G109" s="3"/>
      <c r="H109" s="3"/>
      <c r="I109" s="3"/>
      <c r="J109" s="3"/>
    </row>
    <row r="110" spans="2:10" x14ac:dyDescent="0.3">
      <c r="B110" s="3"/>
      <c r="C110" s="3"/>
      <c r="D110" s="3"/>
      <c r="E110" s="4"/>
      <c r="F110" s="4"/>
      <c r="G110" s="3"/>
      <c r="H110" s="3"/>
      <c r="I110" s="3"/>
      <c r="J110" s="3"/>
    </row>
    <row r="111" spans="2:10" x14ac:dyDescent="0.3">
      <c r="B111" s="3"/>
      <c r="C111" s="3"/>
      <c r="D111" s="3"/>
      <c r="E111" s="4"/>
      <c r="F111" s="4"/>
      <c r="G111" s="3"/>
      <c r="H111" s="3"/>
      <c r="I111" s="3"/>
      <c r="J111" s="3"/>
    </row>
    <row r="112" spans="2:10" x14ac:dyDescent="0.3">
      <c r="B112" s="3"/>
      <c r="C112" s="3"/>
      <c r="D112" s="3"/>
      <c r="E112" s="4"/>
      <c r="F112" s="4"/>
      <c r="G112" s="3"/>
      <c r="H112" s="3"/>
      <c r="I112" s="3"/>
      <c r="J112" s="3"/>
    </row>
    <row r="113" spans="2:10" x14ac:dyDescent="0.3">
      <c r="B113" s="3"/>
      <c r="C113" s="3"/>
      <c r="D113" s="3"/>
      <c r="E113" s="4"/>
      <c r="F113" s="4"/>
      <c r="G113" s="3"/>
      <c r="H113" s="3"/>
      <c r="I113" s="3"/>
      <c r="J113" s="3"/>
    </row>
    <row r="114" spans="2:10" x14ac:dyDescent="0.3">
      <c r="B114" s="3"/>
      <c r="C114" s="3"/>
      <c r="D114" s="3"/>
      <c r="E114" s="4"/>
      <c r="F114" s="4"/>
      <c r="G114" s="3"/>
      <c r="H114" s="3"/>
      <c r="I114" s="3"/>
      <c r="J114" s="3"/>
    </row>
    <row r="115" spans="2:10" x14ac:dyDescent="0.3">
      <c r="B115" s="3"/>
      <c r="C115" s="3"/>
      <c r="D115" s="3"/>
      <c r="E115" s="4"/>
      <c r="F115" s="4"/>
      <c r="G115" s="3"/>
      <c r="H115" s="3"/>
      <c r="I115" s="3"/>
      <c r="J115" s="3"/>
    </row>
    <row r="116" spans="2:10" x14ac:dyDescent="0.3">
      <c r="B116" s="3"/>
      <c r="C116" s="3"/>
      <c r="D116" s="3"/>
      <c r="E116" s="4"/>
      <c r="F116" s="4"/>
      <c r="G116" s="3"/>
      <c r="H116" s="3"/>
      <c r="I116" s="3"/>
      <c r="J116" s="3"/>
    </row>
    <row r="117" spans="2:10" x14ac:dyDescent="0.3">
      <c r="B117" s="3"/>
      <c r="C117" s="3"/>
      <c r="D117" s="3"/>
      <c r="E117" s="4"/>
      <c r="F117" s="4"/>
      <c r="G117" s="3"/>
      <c r="H117" s="3"/>
      <c r="I117" s="3"/>
      <c r="J117" s="3"/>
    </row>
    <row r="118" spans="2:10" x14ac:dyDescent="0.3">
      <c r="B118" s="3"/>
      <c r="C118" s="3"/>
      <c r="D118" s="3"/>
      <c r="E118" s="4"/>
      <c r="F118" s="4"/>
      <c r="G118" s="3"/>
      <c r="H118" s="3"/>
      <c r="I118" s="3"/>
      <c r="J118" s="3"/>
    </row>
    <row r="119" spans="2:10" x14ac:dyDescent="0.3">
      <c r="B119" s="3"/>
      <c r="C119" s="3"/>
      <c r="D119" s="3"/>
      <c r="E119" s="4"/>
      <c r="F119" s="4"/>
      <c r="G119" s="3"/>
      <c r="H119" s="3"/>
      <c r="I119" s="3"/>
      <c r="J119" s="3"/>
    </row>
    <row r="120" spans="2:10" x14ac:dyDescent="0.3">
      <c r="B120" s="3"/>
      <c r="C120" s="3"/>
      <c r="D120" s="3"/>
      <c r="E120" s="4"/>
      <c r="F120" s="4"/>
      <c r="G120" s="3"/>
      <c r="H120" s="3"/>
      <c r="I120" s="3"/>
      <c r="J120" s="3"/>
    </row>
    <row r="121" spans="2:10" x14ac:dyDescent="0.3">
      <c r="B121" s="3"/>
      <c r="C121" s="3"/>
      <c r="D121" s="3"/>
      <c r="E121" s="4"/>
      <c r="F121" s="4"/>
      <c r="G121" s="3"/>
      <c r="H121" s="3"/>
      <c r="I121" s="3"/>
      <c r="J121" s="3"/>
    </row>
    <row r="122" spans="2:10" x14ac:dyDescent="0.3">
      <c r="B122" s="3"/>
      <c r="C122" s="3"/>
      <c r="D122" s="3"/>
      <c r="E122" s="4"/>
      <c r="F122" s="4"/>
      <c r="G122" s="3"/>
      <c r="H122" s="3"/>
      <c r="I122" s="3"/>
      <c r="J122" s="3"/>
    </row>
    <row r="123" spans="2:10" x14ac:dyDescent="0.3">
      <c r="B123" s="3"/>
      <c r="C123" s="3"/>
      <c r="D123" s="3"/>
      <c r="E123" s="4"/>
      <c r="F123" s="4"/>
      <c r="G123" s="3"/>
      <c r="H123" s="3"/>
      <c r="I123" s="3"/>
      <c r="J123" s="3"/>
    </row>
    <row r="124" spans="2:10" x14ac:dyDescent="0.3">
      <c r="B124" s="3"/>
      <c r="C124" s="3"/>
      <c r="D124" s="3"/>
      <c r="E124" s="4"/>
      <c r="F124" s="4"/>
      <c r="G124" s="3"/>
      <c r="H124" s="3"/>
      <c r="I124" s="3"/>
      <c r="J124" s="3"/>
    </row>
    <row r="125" spans="2:10" x14ac:dyDescent="0.3">
      <c r="B125" s="3"/>
      <c r="C125" s="3"/>
      <c r="D125" s="3"/>
      <c r="E125" s="4"/>
      <c r="F125" s="4"/>
      <c r="G125" s="3"/>
      <c r="H125" s="3"/>
      <c r="I125" s="3"/>
      <c r="J125" s="3"/>
    </row>
    <row r="126" spans="2:10" x14ac:dyDescent="0.3">
      <c r="B126" s="3"/>
      <c r="C126" s="3"/>
      <c r="D126" s="3"/>
      <c r="E126" s="4"/>
      <c r="F126" s="4"/>
      <c r="G126" s="3"/>
      <c r="H126" s="3"/>
      <c r="I126" s="3"/>
      <c r="J126" s="3"/>
    </row>
    <row r="127" spans="2:10" x14ac:dyDescent="0.3">
      <c r="B127" s="3"/>
      <c r="C127" s="3"/>
      <c r="D127" s="3"/>
      <c r="E127" s="4"/>
      <c r="F127" s="4"/>
      <c r="G127" s="3"/>
      <c r="H127" s="3"/>
      <c r="I127" s="3"/>
      <c r="J127" s="3"/>
    </row>
    <row r="128" spans="2:10" x14ac:dyDescent="0.3">
      <c r="B128" s="3"/>
      <c r="C128" s="3"/>
      <c r="D128" s="3"/>
      <c r="E128" s="4"/>
      <c r="F128" s="4"/>
      <c r="G128" s="3"/>
      <c r="H128" s="3"/>
      <c r="I128" s="3"/>
      <c r="J128" s="3"/>
    </row>
    <row r="129" spans="2:10" x14ac:dyDescent="0.3">
      <c r="B129" s="3"/>
      <c r="C129" s="3"/>
      <c r="D129" s="3"/>
      <c r="E129" s="4"/>
      <c r="F129" s="4"/>
      <c r="G129" s="3"/>
      <c r="H129" s="3"/>
      <c r="I129" s="3"/>
      <c r="J129" s="3"/>
    </row>
    <row r="130" spans="2:10" x14ac:dyDescent="0.3">
      <c r="B130" s="3"/>
      <c r="C130" s="3"/>
      <c r="D130" s="3"/>
      <c r="E130" s="4"/>
      <c r="F130" s="4"/>
      <c r="G130" s="3"/>
      <c r="H130" s="3"/>
      <c r="I130" s="3"/>
      <c r="J130" s="3"/>
    </row>
    <row r="131" spans="2:10" x14ac:dyDescent="0.3">
      <c r="B131" s="3"/>
      <c r="C131" s="3"/>
      <c r="D131" s="3"/>
      <c r="E131" s="4"/>
      <c r="F131" s="4"/>
      <c r="G131" s="3"/>
      <c r="H131" s="3"/>
      <c r="I131" s="3"/>
      <c r="J131" s="3"/>
    </row>
    <row r="132" spans="2:10" x14ac:dyDescent="0.3">
      <c r="B132" s="3"/>
      <c r="C132" s="3"/>
      <c r="D132" s="3"/>
      <c r="E132" s="4"/>
      <c r="F132" s="4"/>
      <c r="G132" s="3"/>
      <c r="H132" s="3"/>
      <c r="I132" s="3"/>
      <c r="J132" s="3"/>
    </row>
    <row r="133" spans="2:10" x14ac:dyDescent="0.3">
      <c r="B133" s="3"/>
      <c r="C133" s="3"/>
      <c r="D133" s="3"/>
      <c r="E133" s="4"/>
      <c r="F133" s="4"/>
      <c r="G133" s="3"/>
      <c r="H133" s="3"/>
      <c r="I133" s="3"/>
      <c r="J133" s="3"/>
    </row>
    <row r="134" spans="2:10" x14ac:dyDescent="0.3">
      <c r="B134" s="3"/>
      <c r="C134" s="3"/>
      <c r="D134" s="3"/>
      <c r="E134" s="4"/>
      <c r="F134" s="4"/>
      <c r="G134" s="3"/>
      <c r="H134" s="3"/>
      <c r="I134" s="3"/>
      <c r="J134" s="3"/>
    </row>
    <row r="135" spans="2:10" x14ac:dyDescent="0.3">
      <c r="B135" s="3"/>
      <c r="C135" s="3"/>
      <c r="D135" s="3"/>
      <c r="E135" s="4"/>
      <c r="F135" s="4"/>
      <c r="G135" s="3"/>
      <c r="H135" s="3"/>
      <c r="I135" s="3"/>
      <c r="J135" s="3"/>
    </row>
    <row r="136" spans="2:10" x14ac:dyDescent="0.3">
      <c r="B136" s="3"/>
      <c r="C136" s="3"/>
      <c r="D136" s="3"/>
      <c r="E136" s="4"/>
      <c r="F136" s="4"/>
      <c r="G136" s="3"/>
      <c r="H136" s="3"/>
      <c r="I136" s="3"/>
      <c r="J136" s="3"/>
    </row>
    <row r="137" spans="2:10" x14ac:dyDescent="0.3">
      <c r="B137" s="3"/>
      <c r="C137" s="3"/>
      <c r="D137" s="3"/>
      <c r="E137" s="4"/>
      <c r="F137" s="4"/>
      <c r="G137" s="3"/>
      <c r="H137" s="3"/>
      <c r="I137" s="3"/>
      <c r="J137" s="3"/>
    </row>
    <row r="138" spans="2:10" x14ac:dyDescent="0.3">
      <c r="B138" s="3"/>
      <c r="C138" s="3"/>
      <c r="D138" s="3"/>
      <c r="E138" s="4"/>
      <c r="F138" s="4"/>
      <c r="G138" s="3"/>
      <c r="H138" s="3"/>
      <c r="I138" s="3"/>
      <c r="J138" s="3"/>
    </row>
    <row r="139" spans="2:10" x14ac:dyDescent="0.3">
      <c r="B139" s="3"/>
      <c r="C139" s="3"/>
      <c r="D139" s="3"/>
      <c r="E139" s="4"/>
      <c r="F139" s="4"/>
      <c r="G139" s="3"/>
      <c r="H139" s="3"/>
      <c r="I139" s="3"/>
      <c r="J139" s="3"/>
    </row>
    <row r="140" spans="2:10" x14ac:dyDescent="0.3">
      <c r="B140" s="3"/>
      <c r="C140" s="3"/>
      <c r="D140" s="3"/>
      <c r="E140" s="4"/>
      <c r="F140" s="4"/>
      <c r="G140" s="3"/>
      <c r="H140" s="3"/>
      <c r="I140" s="3"/>
      <c r="J140" s="3"/>
    </row>
    <row r="141" spans="2:10" x14ac:dyDescent="0.3">
      <c r="B141" s="3"/>
      <c r="C141" s="3"/>
      <c r="D141" s="3"/>
      <c r="E141" s="4"/>
      <c r="F141" s="4"/>
      <c r="G141" s="3"/>
      <c r="H141" s="3"/>
      <c r="I141" s="3"/>
      <c r="J141" s="3"/>
    </row>
    <row r="142" spans="2:10" x14ac:dyDescent="0.3">
      <c r="B142" s="3"/>
      <c r="C142" s="3"/>
      <c r="D142" s="3"/>
      <c r="E142" s="4"/>
      <c r="F142" s="4"/>
      <c r="G142" s="3"/>
      <c r="H142" s="3"/>
      <c r="I142" s="3"/>
      <c r="J142" s="3"/>
    </row>
    <row r="143" spans="2:10" x14ac:dyDescent="0.3">
      <c r="B143" s="3"/>
      <c r="C143" s="3"/>
      <c r="D143" s="3"/>
      <c r="E143" s="4"/>
      <c r="F143" s="4"/>
      <c r="G143" s="3"/>
      <c r="H143" s="3"/>
      <c r="I143" s="3"/>
      <c r="J143" s="3"/>
    </row>
    <row r="144" spans="2:10" x14ac:dyDescent="0.3">
      <c r="B144" s="3"/>
      <c r="C144" s="3"/>
      <c r="D144" s="3"/>
      <c r="E144" s="4"/>
      <c r="F144" s="4"/>
      <c r="G144" s="3"/>
      <c r="H144" s="3"/>
      <c r="I144" s="3"/>
      <c r="J144" s="3"/>
    </row>
    <row r="145" spans="2:10" x14ac:dyDescent="0.3">
      <c r="B145" s="3"/>
      <c r="C145" s="3"/>
      <c r="D145" s="3"/>
      <c r="E145" s="4"/>
      <c r="F145" s="4"/>
      <c r="G145" s="3"/>
      <c r="H145" s="3"/>
      <c r="I145" s="3"/>
      <c r="J145" s="3"/>
    </row>
    <row r="146" spans="2:10" x14ac:dyDescent="0.3">
      <c r="B146" s="3"/>
      <c r="C146" s="3"/>
      <c r="D146" s="3"/>
      <c r="E146" s="4"/>
      <c r="F146" s="4"/>
      <c r="G146" s="3"/>
      <c r="H146" s="3"/>
      <c r="I146" s="3"/>
      <c r="J146" s="3"/>
    </row>
    <row r="147" spans="2:10" x14ac:dyDescent="0.3">
      <c r="B147" s="3"/>
      <c r="C147" s="3"/>
      <c r="D147" s="3"/>
      <c r="E147" s="4"/>
      <c r="F147" s="4"/>
      <c r="G147" s="3"/>
      <c r="H147" s="3"/>
      <c r="I147" s="3"/>
      <c r="J147" s="3"/>
    </row>
    <row r="148" spans="2:10" x14ac:dyDescent="0.3">
      <c r="B148" s="3"/>
      <c r="C148" s="3"/>
      <c r="D148" s="3"/>
      <c r="E148" s="4"/>
      <c r="F148" s="4"/>
      <c r="G148" s="3"/>
      <c r="H148" s="3"/>
      <c r="I148" s="3"/>
      <c r="J148" s="3"/>
    </row>
    <row r="149" spans="2:10" x14ac:dyDescent="0.3">
      <c r="B149" s="3"/>
      <c r="C149" s="3"/>
      <c r="D149" s="3"/>
      <c r="E149" s="4"/>
      <c r="F149" s="4"/>
      <c r="G149" s="3"/>
      <c r="H149" s="3"/>
      <c r="I149" s="3"/>
      <c r="J149" s="3"/>
    </row>
  </sheetData>
  <sheetProtection insertRows="0" deleteRows="0"/>
  <dataValidations count="2">
    <dataValidation type="list" allowBlank="1" showInputMessage="1" showErrorMessage="1" sqref="D6:D88" xr:uid="{88B235F2-0B48-45BB-976F-4DE8389AF51E}">
      <formula1>INDIRECT("Lookup_Gender[Gender]")</formula1>
    </dataValidation>
    <dataValidation type="list" allowBlank="1" showInputMessage="1" showErrorMessage="1" sqref="J6:J85 G6:I88" xr:uid="{22E5EF5B-D42A-4822-8EC6-9949242216BD}">
      <formula1>INDIRECT("Family[name]")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I72:I85 H73:H75 G84 G60:H60 G57:H57 G52:H53 G44:H50 G36:H38 G6:H30 G32:H34 I63:I71 I8:I52 I58:I62 I54:I56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958-A8E3-43EA-9FE5-242C11E1650F}">
  <sheetPr>
    <tabColor rgb="FFFFC000"/>
  </sheetPr>
  <dimension ref="A5:L88"/>
  <sheetViews>
    <sheetView showGridLines="0" showZeros="0" workbookViewId="0">
      <selection activeCell="O10" sqref="O10"/>
    </sheetView>
  </sheetViews>
  <sheetFormatPr defaultRowHeight="14.4" x14ac:dyDescent="0.3"/>
  <cols>
    <col min="1" max="1" width="8.44140625" bestFit="1" customWidth="1"/>
    <col min="2" max="2" width="19.88671875" bestFit="1" customWidth="1"/>
    <col min="3" max="3" width="9.5546875" bestFit="1" customWidth="1"/>
    <col min="4" max="4" width="7.109375" bestFit="1" customWidth="1"/>
    <col min="5" max="5" width="9.33203125" style="2" bestFit="1" customWidth="1"/>
    <col min="6" max="6" width="9.77734375" style="2" bestFit="1" customWidth="1"/>
    <col min="7" max="7" width="8.109375" bestFit="1" customWidth="1"/>
    <col min="8" max="8" width="8.5546875" bestFit="1" customWidth="1"/>
    <col min="10" max="10" width="23.109375" bestFit="1" customWidth="1"/>
    <col min="11" max="11" width="24.109375" bestFit="1" customWidth="1"/>
    <col min="12" max="12" width="5.88671875" bestFit="1" customWidth="1"/>
  </cols>
  <sheetData>
    <row r="5" spans="1:12" x14ac:dyDescent="0.3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6" t="s">
        <v>8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12</v>
      </c>
    </row>
    <row r="6" spans="1:12" x14ac:dyDescent="0.3">
      <c r="A6" cm="1">
        <f t="array" ref="A6:A88">Family[PersonID]</f>
        <v>1</v>
      </c>
      <c r="B6" t="str" cm="1">
        <f t="array" ref="B6:B88">_xlfn.XLOOKUP(_xlfn.ANCHORARRAY($A$6),Family[[PersonID]:[PersonID]],Family[Name],"",0)</f>
        <v>Jose G. Alto</v>
      </c>
      <c r="C6" cm="1">
        <f t="array" ref="C6:C88">_xlfn.XLOOKUP(_xlfn.ANCHORARRAY($A$6),Family[[PersonID]:[PersonID]],Family[Nickname],"",0)</f>
        <v>0</v>
      </c>
      <c r="D6" t="str" cm="1">
        <f t="array" ref="D6:D88">_xlfn.XLOOKUP(_xlfn.ANCHORARRAY($A$6),Family[[PersonID]:[PersonID]],Family[Gender],"",0)</f>
        <v>male</v>
      </c>
      <c r="E6" s="2" cm="1">
        <f t="array" ref="E6:E88">_xlfn.XLOOKUP(_xlfn.ANCHORARRAY($A$6),Family[[PersonID]:[PersonID]],Family[BirthDate],"",0)</f>
        <v>1174</v>
      </c>
      <c r="F6" s="2" cm="1">
        <f t="array" ref="F6:F88">_xlfn.XLOOKUP(_xlfn.ANCHORARRAY($A$6),Family[[PersonID]:[PersonID]],Family[DeathDate],"",0)</f>
        <v>32314</v>
      </c>
      <c r="G6" t="str" cm="1">
        <f t="array" ref="G6:G88">_xlfn.XLOOKUP(_xlfn.ANCHORARRAY($A$6),Family[[PersonID]:[PersonID]],Family[FatherID],"",0)</f>
        <v/>
      </c>
      <c r="H6" t="str" cm="1">
        <f t="array" ref="H6:H88">_xlfn.XLOOKUP(_xlfn.ANCHORARRAY($A$6),Family[[PersonID]:[PersonID]],Family[MotherID],"",0)</f>
        <v/>
      </c>
      <c r="I6" cm="1">
        <f t="array" ref="I6:I88">_xlfn.XLOOKUP(_xlfn.ANCHORARRAY($A$6),Family[[PersonID]:[PersonID]],Family[SpouseID],"",0)</f>
        <v>2</v>
      </c>
      <c r="J6" t="str" cm="1">
        <f t="array" ref="J6:J88">_xlfn.XLOOKUP(_xlfn.ANCHORARRAY($A$6),Family[[PersonID]:[PersonID]],Family[LifeTime Age],"",0)</f>
        <v>85 years, 3 months, 1 days</v>
      </c>
      <c r="K6" t="str" cm="1">
        <f t="array" aca="1" ref="K6:K88" ca="1">_xlfn.XLOOKUP(_xlfn.ANCHORARRAY($A$6),Family[[PersonID]:[PersonID]],Family[Current Age],"",0)</f>
        <v/>
      </c>
      <c r="L6" cm="1">
        <f t="array" ref="L6:L88">_xlfn.XLOOKUP(_xlfn.ANCHORARRAY($A$6),Family[[PersonID]:[PersonID]],Family[Notes],"",0)</f>
        <v>0</v>
      </c>
    </row>
    <row r="7" spans="1:12" x14ac:dyDescent="0.3">
      <c r="A7">
        <v>2</v>
      </c>
      <c r="B7" t="str">
        <v>Josefa D. Alto</v>
      </c>
      <c r="C7">
        <v>0</v>
      </c>
      <c r="D7" t="str">
        <v>female</v>
      </c>
      <c r="E7" s="2">
        <v>4753</v>
      </c>
      <c r="F7" s="2">
        <v>33847</v>
      </c>
      <c r="G7" t="str">
        <v/>
      </c>
      <c r="H7" t="str">
        <v/>
      </c>
      <c r="I7">
        <v>1</v>
      </c>
      <c r="J7" t="str">
        <v>79 years, 7 months, 27 days</v>
      </c>
      <c r="K7" t="str">
        <f ca="1"/>
        <v/>
      </c>
      <c r="L7">
        <v>0</v>
      </c>
    </row>
    <row r="8" spans="1:12" x14ac:dyDescent="0.3">
      <c r="A8">
        <v>3</v>
      </c>
      <c r="B8" t="str">
        <v>Leticia D. Alto</v>
      </c>
      <c r="C8">
        <v>0</v>
      </c>
      <c r="D8" t="str">
        <v>female</v>
      </c>
      <c r="E8" s="2">
        <v>11763</v>
      </c>
      <c r="F8" s="2">
        <v>37626</v>
      </c>
      <c r="G8">
        <v>1</v>
      </c>
      <c r="H8">
        <v>2</v>
      </c>
      <c r="I8" t="str">
        <v/>
      </c>
      <c r="J8" t="str">
        <v>70 years, 9 months, 21 days</v>
      </c>
      <c r="K8" t="str">
        <f ca="1"/>
        <v/>
      </c>
      <c r="L8">
        <v>0</v>
      </c>
    </row>
    <row r="9" spans="1:12" x14ac:dyDescent="0.3">
      <c r="A9">
        <v>4</v>
      </c>
      <c r="B9" t="str">
        <v>Jose D. Alto Jr.</v>
      </c>
      <c r="C9">
        <v>0</v>
      </c>
      <c r="D9" t="str">
        <v>male</v>
      </c>
      <c r="E9" s="2">
        <v>12395</v>
      </c>
      <c r="F9" s="2">
        <v>0</v>
      </c>
      <c r="G9">
        <v>1</v>
      </c>
      <c r="H9">
        <v>2</v>
      </c>
      <c r="I9">
        <v>5</v>
      </c>
      <c r="J9" t="str">
        <v/>
      </c>
      <c r="K9" t="str">
        <f ca="1"/>
        <v>92 years, 2 months, 11 days</v>
      </c>
      <c r="L9">
        <v>0</v>
      </c>
    </row>
    <row r="10" spans="1:12" x14ac:dyDescent="0.3">
      <c r="A10">
        <v>5</v>
      </c>
      <c r="B10" t="str">
        <v>Clara de Vera Alto</v>
      </c>
      <c r="C10">
        <v>0</v>
      </c>
      <c r="D10" t="str">
        <v>female</v>
      </c>
      <c r="E10" s="2">
        <v>0</v>
      </c>
      <c r="F10" s="2">
        <v>0</v>
      </c>
      <c r="G10" t="str">
        <v/>
      </c>
      <c r="H10" t="str">
        <v/>
      </c>
      <c r="I10">
        <v>4</v>
      </c>
      <c r="J10" t="str">
        <v/>
      </c>
      <c r="K10" t="str">
        <f ca="1"/>
        <v/>
      </c>
      <c r="L10">
        <v>0</v>
      </c>
    </row>
    <row r="11" spans="1:12" x14ac:dyDescent="0.3">
      <c r="A11">
        <v>6</v>
      </c>
      <c r="B11" t="str">
        <v>Job D. Alto</v>
      </c>
      <c r="C11">
        <v>0</v>
      </c>
      <c r="D11" t="str">
        <v>male</v>
      </c>
      <c r="E11" s="2">
        <v>13162</v>
      </c>
      <c r="F11" s="2">
        <v>0</v>
      </c>
      <c r="G11">
        <v>1</v>
      </c>
      <c r="H11">
        <v>2</v>
      </c>
      <c r="I11">
        <v>7</v>
      </c>
      <c r="J11" t="str">
        <v/>
      </c>
      <c r="K11" t="str">
        <f ca="1"/>
        <v>90 years, 1 months, 5 days</v>
      </c>
      <c r="L11">
        <v>0</v>
      </c>
    </row>
    <row r="12" spans="1:12" x14ac:dyDescent="0.3">
      <c r="A12">
        <v>7</v>
      </c>
      <c r="B12" t="str">
        <v>Romulita C. Alto</v>
      </c>
      <c r="C12">
        <v>0</v>
      </c>
      <c r="D12" t="str">
        <v>female</v>
      </c>
      <c r="E12" s="2">
        <v>0</v>
      </c>
      <c r="F12" s="2">
        <v>0</v>
      </c>
      <c r="G12" t="str">
        <v/>
      </c>
      <c r="H12" t="str">
        <v/>
      </c>
      <c r="I12">
        <v>6</v>
      </c>
      <c r="J12" t="str">
        <v/>
      </c>
      <c r="K12" t="str">
        <f ca="1"/>
        <v/>
      </c>
      <c r="L12">
        <v>0</v>
      </c>
    </row>
    <row r="13" spans="1:12" x14ac:dyDescent="0.3">
      <c r="A13">
        <v>8</v>
      </c>
      <c r="B13" t="str">
        <v>Jesse D. Alto</v>
      </c>
      <c r="C13">
        <v>0</v>
      </c>
      <c r="D13" t="str">
        <v>male</v>
      </c>
      <c r="E13" s="2">
        <v>14782</v>
      </c>
      <c r="F13" s="2">
        <v>0</v>
      </c>
      <c r="G13">
        <v>1</v>
      </c>
      <c r="H13">
        <v>2</v>
      </c>
      <c r="I13">
        <v>9</v>
      </c>
      <c r="J13" t="str">
        <v/>
      </c>
      <c r="K13" t="str">
        <f ca="1"/>
        <v>85 years, 7 months, 29 days</v>
      </c>
      <c r="L13">
        <v>0</v>
      </c>
    </row>
    <row r="14" spans="1:12" x14ac:dyDescent="0.3">
      <c r="A14">
        <v>9</v>
      </c>
      <c r="B14" t="str">
        <v>Michelle L. Alto</v>
      </c>
      <c r="C14">
        <v>0</v>
      </c>
      <c r="D14" t="str">
        <v>female</v>
      </c>
      <c r="E14" s="2">
        <v>0</v>
      </c>
      <c r="F14" s="2">
        <v>0</v>
      </c>
      <c r="G14" t="str">
        <v/>
      </c>
      <c r="H14" t="str">
        <v/>
      </c>
      <c r="I14">
        <v>8</v>
      </c>
      <c r="J14" t="str">
        <v/>
      </c>
      <c r="K14" t="str">
        <f ca="1"/>
        <v/>
      </c>
      <c r="L14">
        <v>0</v>
      </c>
    </row>
    <row r="15" spans="1:12" x14ac:dyDescent="0.3">
      <c r="A15">
        <v>10</v>
      </c>
      <c r="B15" t="str">
        <v>Jimmy D. Alto</v>
      </c>
      <c r="C15">
        <v>0</v>
      </c>
      <c r="D15" t="str">
        <v>male</v>
      </c>
      <c r="E15" s="2">
        <v>15523</v>
      </c>
      <c r="F15" s="2">
        <v>0</v>
      </c>
      <c r="G15">
        <v>1</v>
      </c>
      <c r="H15">
        <v>2</v>
      </c>
      <c r="I15">
        <v>11</v>
      </c>
      <c r="J15" t="str">
        <v/>
      </c>
      <c r="K15" t="str">
        <f ca="1"/>
        <v>83 years, 7 months, 17 days</v>
      </c>
      <c r="L15">
        <v>0</v>
      </c>
    </row>
    <row r="16" spans="1:12" x14ac:dyDescent="0.3">
      <c r="A16">
        <v>11</v>
      </c>
      <c r="B16" t="str">
        <v>Ma. Piedad C. Alto</v>
      </c>
      <c r="C16">
        <v>0</v>
      </c>
      <c r="D16" t="str">
        <v>female</v>
      </c>
      <c r="E16" s="2">
        <v>0</v>
      </c>
      <c r="F16" s="2">
        <v>0</v>
      </c>
      <c r="G16" t="str">
        <v/>
      </c>
      <c r="H16" t="str">
        <v/>
      </c>
      <c r="I16">
        <v>10</v>
      </c>
      <c r="J16" t="str">
        <v/>
      </c>
      <c r="K16" t="str">
        <f ca="1"/>
        <v/>
      </c>
      <c r="L16">
        <v>0</v>
      </c>
    </row>
    <row r="17" spans="1:12" x14ac:dyDescent="0.3">
      <c r="A17">
        <v>12</v>
      </c>
      <c r="B17" t="str">
        <v>Raul Zano</v>
      </c>
      <c r="C17">
        <v>0</v>
      </c>
      <c r="D17" t="str">
        <v>male</v>
      </c>
      <c r="E17" s="2">
        <v>0</v>
      </c>
      <c r="F17" s="2">
        <v>0</v>
      </c>
      <c r="G17" t="str">
        <v/>
      </c>
      <c r="H17" t="str">
        <v/>
      </c>
      <c r="I17">
        <v>13</v>
      </c>
      <c r="J17" t="str">
        <v/>
      </c>
      <c r="K17" t="str">
        <f ca="1"/>
        <v/>
      </c>
      <c r="L17">
        <v>0</v>
      </c>
    </row>
    <row r="18" spans="1:12" x14ac:dyDescent="0.3">
      <c r="A18">
        <v>13</v>
      </c>
      <c r="B18" t="str">
        <v>Lydia A. Zano</v>
      </c>
      <c r="C18">
        <v>0</v>
      </c>
      <c r="D18" t="str">
        <v>female</v>
      </c>
      <c r="E18" s="2">
        <v>17507</v>
      </c>
      <c r="F18" s="2">
        <v>0</v>
      </c>
      <c r="G18">
        <v>1</v>
      </c>
      <c r="H18">
        <v>2</v>
      </c>
      <c r="I18">
        <v>12</v>
      </c>
      <c r="J18" t="str">
        <v/>
      </c>
      <c r="K18" t="str">
        <f ca="1"/>
        <v>78 years, 2 months, 12 days</v>
      </c>
      <c r="L18">
        <v>0</v>
      </c>
    </row>
    <row r="19" spans="1:12" x14ac:dyDescent="0.3">
      <c r="A19">
        <v>14</v>
      </c>
      <c r="B19" t="str">
        <v>Josue D. Alto</v>
      </c>
      <c r="C19">
        <v>0</v>
      </c>
      <c r="D19" t="str">
        <v>male</v>
      </c>
      <c r="E19" s="2">
        <v>18790</v>
      </c>
      <c r="F19" s="2">
        <v>36903</v>
      </c>
      <c r="G19">
        <v>1</v>
      </c>
      <c r="H19">
        <v>2</v>
      </c>
      <c r="I19">
        <v>15</v>
      </c>
      <c r="J19" t="str">
        <v>49 years, 7 months, 1 days</v>
      </c>
      <c r="K19" t="str">
        <f ca="1"/>
        <v/>
      </c>
      <c r="L19">
        <v>0</v>
      </c>
    </row>
    <row r="20" spans="1:12" x14ac:dyDescent="0.3">
      <c r="A20">
        <v>15</v>
      </c>
      <c r="B20" t="str">
        <v>Angelina Alto</v>
      </c>
      <c r="C20">
        <v>0</v>
      </c>
      <c r="D20" t="str">
        <v>female</v>
      </c>
      <c r="E20" s="2">
        <v>0</v>
      </c>
      <c r="F20" s="2">
        <v>0</v>
      </c>
      <c r="G20" t="str">
        <v/>
      </c>
      <c r="H20" t="str">
        <v/>
      </c>
      <c r="I20">
        <v>14</v>
      </c>
      <c r="J20" t="str">
        <v/>
      </c>
      <c r="K20" t="str">
        <f ca="1"/>
        <v/>
      </c>
      <c r="L20">
        <v>0</v>
      </c>
    </row>
    <row r="21" spans="1:12" x14ac:dyDescent="0.3">
      <c r="A21">
        <v>16</v>
      </c>
      <c r="B21" t="str">
        <v>Joseph D. Alto</v>
      </c>
      <c r="C21">
        <v>0</v>
      </c>
      <c r="D21" t="str">
        <v>male</v>
      </c>
      <c r="E21" s="2">
        <v>19798</v>
      </c>
      <c r="F21" s="2">
        <v>0</v>
      </c>
      <c r="G21">
        <v>1</v>
      </c>
      <c r="H21">
        <v>2</v>
      </c>
      <c r="I21">
        <v>17</v>
      </c>
      <c r="J21" t="str">
        <v/>
      </c>
      <c r="K21" t="str">
        <f ca="1"/>
        <v>71 years, 11 months, 3 days</v>
      </c>
      <c r="L21">
        <v>0</v>
      </c>
    </row>
    <row r="22" spans="1:12" x14ac:dyDescent="0.3">
      <c r="A22">
        <v>17</v>
      </c>
      <c r="B22" t="str">
        <v>Loida H. Alto</v>
      </c>
      <c r="C22">
        <v>0</v>
      </c>
      <c r="D22" t="str">
        <v>female</v>
      </c>
      <c r="E22" s="2">
        <v>0</v>
      </c>
      <c r="F22" s="2">
        <v>0</v>
      </c>
      <c r="G22" t="str">
        <v/>
      </c>
      <c r="H22" t="str">
        <v/>
      </c>
      <c r="I22">
        <v>16</v>
      </c>
      <c r="J22" t="str">
        <v/>
      </c>
      <c r="K22" t="str">
        <f ca="1"/>
        <v/>
      </c>
      <c r="L22">
        <v>0</v>
      </c>
    </row>
    <row r="23" spans="1:12" x14ac:dyDescent="0.3">
      <c r="A23">
        <v>18</v>
      </c>
      <c r="B23" t="str">
        <v>Thongbue Wongbandue</v>
      </c>
      <c r="C23">
        <v>0</v>
      </c>
      <c r="D23" t="str">
        <v>male</v>
      </c>
      <c r="E23" s="2">
        <v>0</v>
      </c>
      <c r="F23" s="2">
        <v>0</v>
      </c>
      <c r="G23" t="str">
        <v/>
      </c>
      <c r="H23" t="str">
        <v/>
      </c>
      <c r="I23">
        <v>19</v>
      </c>
      <c r="J23" t="str">
        <v/>
      </c>
      <c r="K23" t="str">
        <f ca="1"/>
        <v/>
      </c>
      <c r="L23">
        <v>0</v>
      </c>
    </row>
    <row r="24" spans="1:12" x14ac:dyDescent="0.3">
      <c r="A24">
        <v>19</v>
      </c>
      <c r="B24" t="str">
        <v>Linda A. Wongbandue</v>
      </c>
      <c r="C24">
        <v>0</v>
      </c>
      <c r="D24" t="str">
        <v>female</v>
      </c>
      <c r="E24" s="2">
        <v>20712</v>
      </c>
      <c r="F24" s="2">
        <v>0</v>
      </c>
      <c r="G24">
        <v>1</v>
      </c>
      <c r="H24">
        <v>2</v>
      </c>
      <c r="I24">
        <v>18</v>
      </c>
      <c r="J24" t="str">
        <v/>
      </c>
      <c r="K24" t="str">
        <f ca="1"/>
        <v>69 years, 5 months, 4 days</v>
      </c>
      <c r="L24">
        <v>0</v>
      </c>
    </row>
    <row r="25" spans="1:12" x14ac:dyDescent="0.3">
      <c r="A25">
        <v>20</v>
      </c>
      <c r="B25" t="str">
        <v>Maria Elena Alto</v>
      </c>
      <c r="C25">
        <v>0</v>
      </c>
      <c r="D25" t="str">
        <v>female</v>
      </c>
      <c r="E25" s="2">
        <v>0</v>
      </c>
      <c r="F25" s="2">
        <v>0</v>
      </c>
      <c r="G25">
        <v>4</v>
      </c>
      <c r="H25">
        <v>5</v>
      </c>
      <c r="I25" t="str">
        <v/>
      </c>
      <c r="J25" t="str">
        <v/>
      </c>
      <c r="K25" t="str">
        <f ca="1"/>
        <v/>
      </c>
      <c r="L25">
        <v>0</v>
      </c>
    </row>
    <row r="26" spans="1:12" x14ac:dyDescent="0.3">
      <c r="A26">
        <v>21</v>
      </c>
      <c r="B26" t="str">
        <v>Maria Lourdes Alto</v>
      </c>
      <c r="C26">
        <v>0</v>
      </c>
      <c r="D26" t="str">
        <v>female</v>
      </c>
      <c r="E26" s="2">
        <v>0</v>
      </c>
      <c r="F26" s="2">
        <v>0</v>
      </c>
      <c r="G26">
        <v>4</v>
      </c>
      <c r="H26">
        <v>5</v>
      </c>
      <c r="I26" t="str">
        <v/>
      </c>
      <c r="J26" t="str">
        <v/>
      </c>
      <c r="K26" t="str">
        <f ca="1"/>
        <v/>
      </c>
      <c r="L26">
        <v>0</v>
      </c>
    </row>
    <row r="27" spans="1:12" x14ac:dyDescent="0.3">
      <c r="A27">
        <v>22</v>
      </c>
      <c r="B27" t="str">
        <v>Christian Roy Alto</v>
      </c>
      <c r="C27">
        <v>0</v>
      </c>
      <c r="D27" t="str">
        <v>male</v>
      </c>
      <c r="E27" s="2">
        <v>0</v>
      </c>
      <c r="F27" s="2">
        <v>0</v>
      </c>
      <c r="G27">
        <v>6</v>
      </c>
      <c r="H27">
        <v>7</v>
      </c>
      <c r="I27">
        <v>23</v>
      </c>
      <c r="J27" t="str">
        <v/>
      </c>
      <c r="K27" t="str">
        <f ca="1"/>
        <v/>
      </c>
      <c r="L27">
        <v>0</v>
      </c>
    </row>
    <row r="28" spans="1:12" x14ac:dyDescent="0.3">
      <c r="A28">
        <v>23</v>
      </c>
      <c r="B28" t="str">
        <v>Amelia F. Alto</v>
      </c>
      <c r="C28">
        <v>0</v>
      </c>
      <c r="D28" t="str">
        <v>female</v>
      </c>
      <c r="E28" s="2">
        <v>0</v>
      </c>
      <c r="F28" s="2">
        <v>0</v>
      </c>
      <c r="G28" t="str">
        <v/>
      </c>
      <c r="H28" t="str">
        <v/>
      </c>
      <c r="I28">
        <v>22</v>
      </c>
      <c r="J28" t="str">
        <v/>
      </c>
      <c r="K28" t="str">
        <f ca="1"/>
        <v/>
      </c>
      <c r="L28">
        <v>0</v>
      </c>
    </row>
    <row r="29" spans="1:12" x14ac:dyDescent="0.3">
      <c r="A29">
        <v>24</v>
      </c>
      <c r="B29" t="str">
        <v>Philip Reginald Alto</v>
      </c>
      <c r="C29">
        <v>0</v>
      </c>
      <c r="D29" t="str">
        <v>male</v>
      </c>
      <c r="E29" s="2">
        <v>0</v>
      </c>
      <c r="F29" s="2">
        <v>0</v>
      </c>
      <c r="G29">
        <v>6</v>
      </c>
      <c r="H29">
        <v>7</v>
      </c>
      <c r="I29">
        <v>25</v>
      </c>
      <c r="J29" t="str">
        <v/>
      </c>
      <c r="K29" t="str">
        <f ca="1"/>
        <v/>
      </c>
      <c r="L29">
        <v>0</v>
      </c>
    </row>
    <row r="30" spans="1:12" x14ac:dyDescent="0.3">
      <c r="A30">
        <v>25</v>
      </c>
      <c r="B30" t="str">
        <v>Mylene L. Alto</v>
      </c>
      <c r="C30">
        <v>0</v>
      </c>
      <c r="D30" t="str">
        <v>female</v>
      </c>
      <c r="E30" s="2">
        <v>0</v>
      </c>
      <c r="F30" s="2">
        <v>0</v>
      </c>
      <c r="G30" t="str">
        <v/>
      </c>
      <c r="H30" t="str">
        <v/>
      </c>
      <c r="I30">
        <v>24</v>
      </c>
      <c r="J30" t="str">
        <v/>
      </c>
      <c r="K30" t="str">
        <f ca="1"/>
        <v/>
      </c>
      <c r="L30">
        <v>0</v>
      </c>
    </row>
    <row r="31" spans="1:12" x14ac:dyDescent="0.3">
      <c r="A31">
        <v>26</v>
      </c>
      <c r="B31" t="str">
        <v>Roland Ira Alto</v>
      </c>
      <c r="C31">
        <v>0</v>
      </c>
      <c r="D31" t="str">
        <v>male</v>
      </c>
      <c r="E31" s="2">
        <v>0</v>
      </c>
      <c r="F31" s="2">
        <v>0</v>
      </c>
      <c r="G31">
        <v>6</v>
      </c>
      <c r="H31">
        <v>7</v>
      </c>
      <c r="I31">
        <v>27</v>
      </c>
      <c r="J31" t="str">
        <v/>
      </c>
      <c r="K31" t="str">
        <f ca="1"/>
        <v/>
      </c>
      <c r="L31">
        <v>0</v>
      </c>
    </row>
    <row r="32" spans="1:12" x14ac:dyDescent="0.3">
      <c r="A32">
        <v>27</v>
      </c>
      <c r="B32" t="str">
        <v>Merylle U. Alto</v>
      </c>
      <c r="C32">
        <v>0</v>
      </c>
      <c r="D32" t="str">
        <v>female</v>
      </c>
      <c r="E32" s="2">
        <v>0</v>
      </c>
      <c r="F32" s="2">
        <v>0</v>
      </c>
      <c r="G32" t="str">
        <v/>
      </c>
      <c r="H32" t="str">
        <v/>
      </c>
      <c r="I32">
        <v>26</v>
      </c>
      <c r="J32" t="str">
        <v/>
      </c>
      <c r="K32" t="str">
        <f ca="1"/>
        <v/>
      </c>
      <c r="L32">
        <v>0</v>
      </c>
    </row>
    <row r="33" spans="1:12" x14ac:dyDescent="0.3">
      <c r="A33">
        <v>28</v>
      </c>
      <c r="B33" t="str">
        <v>Philo Alto</v>
      </c>
      <c r="C33">
        <v>0</v>
      </c>
      <c r="D33" t="str">
        <v>male</v>
      </c>
      <c r="E33" s="2">
        <v>0</v>
      </c>
      <c r="F33" s="2">
        <v>0</v>
      </c>
      <c r="G33">
        <v>8</v>
      </c>
      <c r="H33">
        <v>9</v>
      </c>
      <c r="I33">
        <v>29</v>
      </c>
      <c r="J33" t="str">
        <v/>
      </c>
      <c r="K33" t="str">
        <f ca="1"/>
        <v/>
      </c>
      <c r="L33">
        <v>0</v>
      </c>
    </row>
    <row r="34" spans="1:12" x14ac:dyDescent="0.3">
      <c r="A34">
        <v>29</v>
      </c>
      <c r="B34" t="str">
        <v>Angel Young-Alto</v>
      </c>
      <c r="C34">
        <v>0</v>
      </c>
      <c r="D34" t="str">
        <v>female</v>
      </c>
      <c r="E34" s="2">
        <v>0</v>
      </c>
      <c r="F34" s="2">
        <v>0</v>
      </c>
      <c r="G34" t="str">
        <v/>
      </c>
      <c r="H34" t="str">
        <v/>
      </c>
      <c r="I34">
        <v>28</v>
      </c>
      <c r="J34" t="str">
        <v/>
      </c>
      <c r="K34" t="str">
        <f ca="1"/>
        <v/>
      </c>
      <c r="L34">
        <v>0</v>
      </c>
    </row>
    <row r="35" spans="1:12" x14ac:dyDescent="0.3">
      <c r="A35">
        <v>30</v>
      </c>
      <c r="B35" t="str">
        <v>Washington Alto</v>
      </c>
      <c r="C35">
        <v>0</v>
      </c>
      <c r="D35" t="str">
        <v>male</v>
      </c>
      <c r="E35" s="2">
        <v>0</v>
      </c>
      <c r="F35" s="2">
        <v>0</v>
      </c>
      <c r="G35">
        <v>8</v>
      </c>
      <c r="H35">
        <v>9</v>
      </c>
      <c r="I35">
        <v>31</v>
      </c>
      <c r="J35" t="str">
        <v/>
      </c>
      <c r="K35" t="str">
        <f ca="1"/>
        <v/>
      </c>
      <c r="L35">
        <v>0</v>
      </c>
    </row>
    <row r="36" spans="1:12" x14ac:dyDescent="0.3">
      <c r="A36">
        <v>31</v>
      </c>
      <c r="B36" t="str">
        <v>Marissa N. Alto</v>
      </c>
      <c r="C36">
        <v>0</v>
      </c>
      <c r="D36" t="str">
        <v>female</v>
      </c>
      <c r="E36" s="2">
        <v>0</v>
      </c>
      <c r="F36" s="2">
        <v>0</v>
      </c>
      <c r="G36" t="str">
        <v/>
      </c>
      <c r="H36" t="str">
        <v/>
      </c>
      <c r="I36">
        <v>30</v>
      </c>
      <c r="J36" t="str">
        <v/>
      </c>
      <c r="K36" t="str">
        <f ca="1"/>
        <v/>
      </c>
      <c r="L36">
        <v>0</v>
      </c>
    </row>
    <row r="37" spans="1:12" x14ac:dyDescent="0.3">
      <c r="A37">
        <v>32</v>
      </c>
      <c r="B37" t="str">
        <v>Michael Alto</v>
      </c>
      <c r="C37">
        <v>0</v>
      </c>
      <c r="D37" t="str">
        <v>male</v>
      </c>
      <c r="E37" s="2">
        <v>0</v>
      </c>
      <c r="F37" s="2">
        <v>0</v>
      </c>
      <c r="G37">
        <v>10</v>
      </c>
      <c r="H37">
        <v>11</v>
      </c>
      <c r="I37">
        <v>33</v>
      </c>
      <c r="J37" t="str">
        <v/>
      </c>
      <c r="K37" t="str">
        <f ca="1"/>
        <v/>
      </c>
      <c r="L37">
        <v>0</v>
      </c>
    </row>
    <row r="38" spans="1:12" x14ac:dyDescent="0.3">
      <c r="A38">
        <v>33</v>
      </c>
      <c r="B38" t="str">
        <v>Jaime Alicia H. Alto</v>
      </c>
      <c r="C38">
        <v>0</v>
      </c>
      <c r="D38" t="str">
        <v>female</v>
      </c>
      <c r="E38" s="2">
        <v>0</v>
      </c>
      <c r="F38" s="2">
        <v>0</v>
      </c>
      <c r="G38" t="str">
        <v/>
      </c>
      <c r="H38" t="str">
        <v/>
      </c>
      <c r="I38">
        <v>32</v>
      </c>
      <c r="J38" t="str">
        <v/>
      </c>
      <c r="K38" t="str">
        <f ca="1"/>
        <v/>
      </c>
      <c r="L38">
        <v>0</v>
      </c>
    </row>
    <row r="39" spans="1:12" x14ac:dyDescent="0.3">
      <c r="A39">
        <v>34</v>
      </c>
      <c r="B39" t="str">
        <v>Lysander Alto</v>
      </c>
      <c r="C39">
        <v>0</v>
      </c>
      <c r="D39" t="str">
        <v>male</v>
      </c>
      <c r="E39" s="2">
        <v>0</v>
      </c>
      <c r="F39" s="2">
        <v>0</v>
      </c>
      <c r="G39">
        <v>10</v>
      </c>
      <c r="H39">
        <v>11</v>
      </c>
      <c r="I39">
        <v>35</v>
      </c>
      <c r="J39" t="str">
        <v/>
      </c>
      <c r="K39" t="str">
        <f ca="1"/>
        <v/>
      </c>
      <c r="L39">
        <v>0</v>
      </c>
    </row>
    <row r="40" spans="1:12" x14ac:dyDescent="0.3">
      <c r="A40">
        <v>35</v>
      </c>
      <c r="B40" t="str">
        <v>Suzanne Alto</v>
      </c>
      <c r="C40">
        <v>0</v>
      </c>
      <c r="D40" t="str">
        <v>female</v>
      </c>
      <c r="E40" s="2">
        <v>0</v>
      </c>
      <c r="F40" s="2">
        <v>0</v>
      </c>
      <c r="G40" t="str">
        <v/>
      </c>
      <c r="H40" t="str">
        <v/>
      </c>
      <c r="I40">
        <v>34</v>
      </c>
      <c r="J40" t="str">
        <v/>
      </c>
      <c r="K40" t="str">
        <f ca="1"/>
        <v/>
      </c>
      <c r="L40">
        <v>0</v>
      </c>
    </row>
    <row r="41" spans="1:12" x14ac:dyDescent="0.3">
      <c r="A41">
        <v>36</v>
      </c>
      <c r="B41" t="str">
        <v>Jimmy Jr. Alto</v>
      </c>
      <c r="C41">
        <v>0</v>
      </c>
      <c r="D41" t="str">
        <v>male</v>
      </c>
      <c r="E41" s="2">
        <v>0</v>
      </c>
      <c r="F41" s="2">
        <v>0</v>
      </c>
      <c r="G41">
        <v>10</v>
      </c>
      <c r="H41">
        <v>11</v>
      </c>
      <c r="I41" t="str">
        <v/>
      </c>
      <c r="J41" t="str">
        <v/>
      </c>
      <c r="K41" t="str">
        <f ca="1"/>
        <v/>
      </c>
      <c r="L41">
        <v>0</v>
      </c>
    </row>
    <row r="42" spans="1:12" x14ac:dyDescent="0.3">
      <c r="A42">
        <v>37</v>
      </c>
      <c r="B42" t="str">
        <v>Angelo Alto</v>
      </c>
      <c r="C42">
        <v>0</v>
      </c>
      <c r="D42" t="str">
        <v>male</v>
      </c>
      <c r="E42" s="2">
        <v>0</v>
      </c>
      <c r="F42" s="2">
        <v>0</v>
      </c>
      <c r="G42">
        <v>10</v>
      </c>
      <c r="H42">
        <v>11</v>
      </c>
      <c r="I42" t="str">
        <v/>
      </c>
      <c r="J42" t="str">
        <v/>
      </c>
      <c r="K42" t="str">
        <f ca="1"/>
        <v/>
      </c>
      <c r="L42">
        <v>0</v>
      </c>
    </row>
    <row r="43" spans="1:12" x14ac:dyDescent="0.3">
      <c r="A43">
        <v>38</v>
      </c>
      <c r="B43" t="str">
        <v>Josalyn  Elliott</v>
      </c>
      <c r="C43">
        <v>0</v>
      </c>
      <c r="D43" t="str">
        <v>female</v>
      </c>
      <c r="E43" s="2">
        <v>0</v>
      </c>
      <c r="F43" s="2">
        <v>0</v>
      </c>
      <c r="G43">
        <v>10</v>
      </c>
      <c r="H43">
        <v>11</v>
      </c>
      <c r="I43">
        <v>39</v>
      </c>
      <c r="J43" t="str">
        <v/>
      </c>
      <c r="K43" t="str">
        <f ca="1"/>
        <v/>
      </c>
      <c r="L43">
        <v>0</v>
      </c>
    </row>
    <row r="44" spans="1:12" x14ac:dyDescent="0.3">
      <c r="A44">
        <v>39</v>
      </c>
      <c r="B44" t="str">
        <v>Patrick Elliott</v>
      </c>
      <c r="C44">
        <v>0</v>
      </c>
      <c r="D44" t="str">
        <v>male</v>
      </c>
      <c r="E44" s="2">
        <v>0</v>
      </c>
      <c r="F44" s="2">
        <v>0</v>
      </c>
      <c r="G44" t="str">
        <v/>
      </c>
      <c r="H44" t="str">
        <v/>
      </c>
      <c r="I44">
        <v>38</v>
      </c>
      <c r="J44" t="str">
        <v/>
      </c>
      <c r="K44" t="str">
        <f ca="1"/>
        <v/>
      </c>
      <c r="L44">
        <v>0</v>
      </c>
    </row>
    <row r="45" spans="1:12" x14ac:dyDescent="0.3">
      <c r="A45">
        <v>40</v>
      </c>
      <c r="B45" t="str">
        <v>Reginald Zano</v>
      </c>
      <c r="C45">
        <v>0</v>
      </c>
      <c r="D45" t="str">
        <v>male</v>
      </c>
      <c r="E45" s="2">
        <v>0</v>
      </c>
      <c r="F45" s="2">
        <v>0</v>
      </c>
      <c r="G45">
        <v>12</v>
      </c>
      <c r="H45">
        <v>13</v>
      </c>
      <c r="I45">
        <v>41</v>
      </c>
      <c r="J45" t="str">
        <v/>
      </c>
      <c r="K45" t="str">
        <f ca="1"/>
        <v/>
      </c>
      <c r="L45">
        <v>0</v>
      </c>
    </row>
    <row r="46" spans="1:12" x14ac:dyDescent="0.3">
      <c r="A46">
        <v>41</v>
      </c>
      <c r="B46" t="str">
        <v>Angelia Nina Zano</v>
      </c>
      <c r="C46">
        <v>0</v>
      </c>
      <c r="D46" t="str">
        <v>female</v>
      </c>
      <c r="E46" s="2">
        <v>0</v>
      </c>
      <c r="F46" s="2">
        <v>0</v>
      </c>
      <c r="G46" t="str">
        <v/>
      </c>
      <c r="H46" t="str">
        <v/>
      </c>
      <c r="I46">
        <v>40</v>
      </c>
      <c r="J46" t="str">
        <v/>
      </c>
      <c r="K46" t="str">
        <f ca="1"/>
        <v/>
      </c>
      <c r="L46">
        <v>0</v>
      </c>
    </row>
    <row r="47" spans="1:12" x14ac:dyDescent="0.3">
      <c r="A47">
        <v>42</v>
      </c>
      <c r="B47" t="str">
        <v>Laurenti Raul Zano</v>
      </c>
      <c r="C47">
        <v>0</v>
      </c>
      <c r="D47" t="str">
        <v>male</v>
      </c>
      <c r="E47" s="2">
        <v>0</v>
      </c>
      <c r="F47" s="2">
        <v>0</v>
      </c>
      <c r="G47">
        <v>12</v>
      </c>
      <c r="H47">
        <v>13</v>
      </c>
      <c r="I47" t="str">
        <v/>
      </c>
      <c r="J47" t="str">
        <v/>
      </c>
      <c r="K47" t="str">
        <f ca="1"/>
        <v/>
      </c>
      <c r="L47">
        <v>0</v>
      </c>
    </row>
    <row r="48" spans="1:12" x14ac:dyDescent="0.3">
      <c r="A48">
        <v>43</v>
      </c>
      <c r="B48" t="str">
        <v>Raymond Zano</v>
      </c>
      <c r="C48">
        <v>0</v>
      </c>
      <c r="D48" t="str">
        <v>male</v>
      </c>
      <c r="E48" s="2">
        <v>0</v>
      </c>
      <c r="F48" s="2">
        <v>0</v>
      </c>
      <c r="G48">
        <v>12</v>
      </c>
      <c r="H48">
        <v>13</v>
      </c>
      <c r="I48" t="str">
        <v/>
      </c>
      <c r="J48" t="str">
        <v/>
      </c>
      <c r="K48" t="str">
        <f ca="1"/>
        <v/>
      </c>
      <c r="L48">
        <v>0</v>
      </c>
    </row>
    <row r="49" spans="1:12" x14ac:dyDescent="0.3">
      <c r="A49">
        <v>44</v>
      </c>
      <c r="B49" t="str">
        <v>Ryan Joy Zano</v>
      </c>
      <c r="C49">
        <v>0</v>
      </c>
      <c r="D49" t="str">
        <v>male</v>
      </c>
      <c r="E49" s="2">
        <v>0</v>
      </c>
      <c r="F49" s="2">
        <v>0</v>
      </c>
      <c r="G49">
        <v>12</v>
      </c>
      <c r="H49">
        <v>13</v>
      </c>
      <c r="I49">
        <v>45</v>
      </c>
      <c r="J49" t="str">
        <v/>
      </c>
      <c r="K49" t="str">
        <f ca="1"/>
        <v/>
      </c>
      <c r="L49">
        <v>0</v>
      </c>
    </row>
    <row r="50" spans="1:12" x14ac:dyDescent="0.3">
      <c r="A50">
        <v>45</v>
      </c>
      <c r="B50" t="str">
        <v>Riza Joy Zano</v>
      </c>
      <c r="C50">
        <v>0</v>
      </c>
      <c r="D50" t="str">
        <v>female</v>
      </c>
      <c r="E50" s="2">
        <v>0</v>
      </c>
      <c r="F50" s="2">
        <v>0</v>
      </c>
      <c r="G50" t="str">
        <v/>
      </c>
      <c r="H50" t="str">
        <v/>
      </c>
      <c r="I50">
        <v>44</v>
      </c>
      <c r="J50" t="str">
        <v/>
      </c>
      <c r="K50" t="str">
        <f ca="1"/>
        <v/>
      </c>
      <c r="L50">
        <v>0</v>
      </c>
    </row>
    <row r="51" spans="1:12" x14ac:dyDescent="0.3">
      <c r="A51">
        <v>46</v>
      </c>
      <c r="B51" t="str">
        <v>Joey Andrew Alto</v>
      </c>
      <c r="C51">
        <v>0</v>
      </c>
      <c r="D51" t="str">
        <v>male</v>
      </c>
      <c r="E51" s="2">
        <v>0</v>
      </c>
      <c r="F51" s="2">
        <v>0</v>
      </c>
      <c r="G51">
        <v>14</v>
      </c>
      <c r="H51">
        <v>15</v>
      </c>
      <c r="I51">
        <v>47</v>
      </c>
      <c r="J51" t="str">
        <v/>
      </c>
      <c r="K51" t="str">
        <f ca="1"/>
        <v/>
      </c>
      <c r="L51">
        <v>0</v>
      </c>
    </row>
    <row r="52" spans="1:12" x14ac:dyDescent="0.3">
      <c r="A52">
        <v>47</v>
      </c>
      <c r="B52" t="str">
        <v>Rebecca Reyes Alto</v>
      </c>
      <c r="C52">
        <v>0</v>
      </c>
      <c r="D52" t="str">
        <v>female</v>
      </c>
      <c r="E52" s="2">
        <v>0</v>
      </c>
      <c r="F52" s="2">
        <v>0</v>
      </c>
      <c r="G52" t="str">
        <v/>
      </c>
      <c r="H52" t="str">
        <v/>
      </c>
      <c r="I52">
        <v>46</v>
      </c>
      <c r="J52" t="str">
        <v/>
      </c>
      <c r="K52" t="str">
        <f ca="1"/>
        <v/>
      </c>
      <c r="L52">
        <v>0</v>
      </c>
    </row>
    <row r="53" spans="1:12" x14ac:dyDescent="0.3">
      <c r="A53">
        <v>48</v>
      </c>
      <c r="B53" t="str">
        <v>Richard Obiles</v>
      </c>
      <c r="C53">
        <v>0</v>
      </c>
      <c r="D53" t="str">
        <v>male</v>
      </c>
      <c r="E53" s="2">
        <v>0</v>
      </c>
      <c r="F53" s="2">
        <v>0</v>
      </c>
      <c r="G53" t="str">
        <v/>
      </c>
      <c r="H53" t="str">
        <v/>
      </c>
      <c r="I53">
        <v>49</v>
      </c>
      <c r="J53" t="str">
        <v/>
      </c>
      <c r="K53" t="str">
        <f ca="1"/>
        <v/>
      </c>
      <c r="L53">
        <v>0</v>
      </c>
    </row>
    <row r="54" spans="1:12" x14ac:dyDescent="0.3">
      <c r="A54">
        <v>49</v>
      </c>
      <c r="B54" t="str">
        <v>Jo-Ann Alto</v>
      </c>
      <c r="C54">
        <v>0</v>
      </c>
      <c r="D54" t="str">
        <v>female</v>
      </c>
      <c r="E54" s="2">
        <v>0</v>
      </c>
      <c r="F54" s="2">
        <v>0</v>
      </c>
      <c r="G54">
        <v>14</v>
      </c>
      <c r="H54">
        <v>15</v>
      </c>
      <c r="I54">
        <v>48</v>
      </c>
      <c r="J54" t="str">
        <v/>
      </c>
      <c r="K54" t="str">
        <f ca="1"/>
        <v/>
      </c>
      <c r="L54">
        <v>0</v>
      </c>
    </row>
    <row r="55" spans="1:12" x14ac:dyDescent="0.3">
      <c r="A55">
        <v>50</v>
      </c>
      <c r="B55" t="str">
        <v>Joel Adam Alto</v>
      </c>
      <c r="C55">
        <v>0</v>
      </c>
      <c r="D55" t="str">
        <v>male</v>
      </c>
      <c r="E55" s="2">
        <v>0</v>
      </c>
      <c r="F55" s="2">
        <v>0</v>
      </c>
      <c r="G55">
        <v>14</v>
      </c>
      <c r="H55">
        <v>15</v>
      </c>
      <c r="I55" t="str">
        <v/>
      </c>
      <c r="J55" t="str">
        <v/>
      </c>
      <c r="K55" t="str">
        <f ca="1"/>
        <v/>
      </c>
      <c r="L55">
        <v>0</v>
      </c>
    </row>
    <row r="56" spans="1:12" x14ac:dyDescent="0.3">
      <c r="A56">
        <v>51</v>
      </c>
      <c r="B56" t="str">
        <v>Jesy Angeli Alto</v>
      </c>
      <c r="C56">
        <v>0</v>
      </c>
      <c r="D56" t="str">
        <v>female</v>
      </c>
      <c r="E56" s="2">
        <v>0</v>
      </c>
      <c r="F56" s="2">
        <v>0</v>
      </c>
      <c r="G56">
        <v>14</v>
      </c>
      <c r="H56">
        <v>15</v>
      </c>
      <c r="I56" t="str">
        <v/>
      </c>
      <c r="J56" t="str">
        <v/>
      </c>
      <c r="K56" t="str">
        <f ca="1"/>
        <v/>
      </c>
      <c r="L56">
        <v>0</v>
      </c>
    </row>
    <row r="57" spans="1:12" x14ac:dyDescent="0.3">
      <c r="A57">
        <v>52</v>
      </c>
      <c r="B57" t="str">
        <v>Fabian Lim</v>
      </c>
      <c r="C57">
        <v>0</v>
      </c>
      <c r="D57" t="str">
        <v>male</v>
      </c>
      <c r="E57" s="2">
        <v>0</v>
      </c>
      <c r="F57" s="2">
        <v>0</v>
      </c>
      <c r="G57" t="str">
        <v/>
      </c>
      <c r="H57" t="str">
        <v/>
      </c>
      <c r="I57">
        <v>53</v>
      </c>
      <c r="J57" t="str">
        <v/>
      </c>
      <c r="K57" t="str">
        <f ca="1"/>
        <v/>
      </c>
      <c r="L57">
        <v>0</v>
      </c>
    </row>
    <row r="58" spans="1:12" x14ac:dyDescent="0.3">
      <c r="A58">
        <v>53</v>
      </c>
      <c r="B58" t="str">
        <v>Grace Ann Alto</v>
      </c>
      <c r="C58">
        <v>0</v>
      </c>
      <c r="D58" t="str">
        <v>female</v>
      </c>
      <c r="E58" s="2">
        <v>0</v>
      </c>
      <c r="F58" s="2">
        <v>0</v>
      </c>
      <c r="G58">
        <v>16</v>
      </c>
      <c r="H58">
        <v>17</v>
      </c>
      <c r="I58">
        <v>52</v>
      </c>
      <c r="J58" t="str">
        <v/>
      </c>
      <c r="K58" t="str">
        <f ca="1"/>
        <v/>
      </c>
      <c r="L58">
        <v>0</v>
      </c>
    </row>
    <row r="59" spans="1:12" x14ac:dyDescent="0.3">
      <c r="A59">
        <v>54</v>
      </c>
      <c r="B59" t="str">
        <v>Jason Alto</v>
      </c>
      <c r="C59">
        <v>0</v>
      </c>
      <c r="D59" t="str">
        <v>male</v>
      </c>
      <c r="E59" s="2">
        <v>0</v>
      </c>
      <c r="F59" s="2">
        <v>0</v>
      </c>
      <c r="G59">
        <v>16</v>
      </c>
      <c r="H59">
        <v>17</v>
      </c>
      <c r="I59">
        <v>55</v>
      </c>
      <c r="J59" t="str">
        <v/>
      </c>
      <c r="K59" t="str">
        <f ca="1"/>
        <v/>
      </c>
      <c r="L59">
        <v>0</v>
      </c>
    </row>
    <row r="60" spans="1:12" x14ac:dyDescent="0.3">
      <c r="A60">
        <v>55</v>
      </c>
      <c r="B60" t="str">
        <v>Amy Hung</v>
      </c>
      <c r="C60">
        <v>0</v>
      </c>
      <c r="D60" t="str">
        <v>female</v>
      </c>
      <c r="E60" s="2">
        <v>0</v>
      </c>
      <c r="F60" s="2">
        <v>0</v>
      </c>
      <c r="G60" t="str">
        <v/>
      </c>
      <c r="H60" t="str">
        <v/>
      </c>
      <c r="I60">
        <v>54</v>
      </c>
      <c r="J60" t="str">
        <v/>
      </c>
      <c r="K60" t="str">
        <f ca="1"/>
        <v/>
      </c>
      <c r="L60">
        <v>0</v>
      </c>
    </row>
    <row r="61" spans="1:12" x14ac:dyDescent="0.3">
      <c r="A61">
        <v>56</v>
      </c>
      <c r="B61" t="str">
        <v>Jaime Wongbandue</v>
      </c>
      <c r="C61">
        <v>0</v>
      </c>
      <c r="D61" t="str">
        <v>male</v>
      </c>
      <c r="E61" s="2">
        <v>0</v>
      </c>
      <c r="F61" s="2">
        <v>0</v>
      </c>
      <c r="G61">
        <v>18</v>
      </c>
      <c r="H61">
        <v>19</v>
      </c>
      <c r="I61">
        <v>57</v>
      </c>
      <c r="J61" t="str">
        <v/>
      </c>
      <c r="K61" t="str">
        <f ca="1"/>
        <v/>
      </c>
      <c r="L61">
        <v>0</v>
      </c>
    </row>
    <row r="62" spans="1:12" x14ac:dyDescent="0.3">
      <c r="A62">
        <v>57</v>
      </c>
      <c r="B62" t="str">
        <v>Nita Nash Wongbandue</v>
      </c>
      <c r="C62">
        <v>0</v>
      </c>
      <c r="D62" t="str">
        <v>female</v>
      </c>
      <c r="E62" s="2">
        <v>0</v>
      </c>
      <c r="F62" s="2">
        <v>0</v>
      </c>
      <c r="G62" t="str">
        <v/>
      </c>
      <c r="H62" t="str">
        <v/>
      </c>
      <c r="I62">
        <v>56</v>
      </c>
      <c r="J62" t="str">
        <v/>
      </c>
      <c r="K62" t="str">
        <f ca="1"/>
        <v/>
      </c>
      <c r="L62">
        <v>0</v>
      </c>
    </row>
    <row r="63" spans="1:12" x14ac:dyDescent="0.3">
      <c r="A63">
        <v>58</v>
      </c>
      <c r="B63" t="str">
        <v>Julie Wongbandue</v>
      </c>
      <c r="C63">
        <v>0</v>
      </c>
      <c r="D63" t="str">
        <v>female</v>
      </c>
      <c r="E63" s="2">
        <v>0</v>
      </c>
      <c r="F63" s="2">
        <v>0</v>
      </c>
      <c r="G63">
        <v>18</v>
      </c>
      <c r="H63">
        <v>19</v>
      </c>
      <c r="I63" t="str">
        <v/>
      </c>
      <c r="J63" t="str">
        <v/>
      </c>
      <c r="K63" t="str">
        <f ca="1"/>
        <v/>
      </c>
      <c r="L63">
        <v>0</v>
      </c>
    </row>
    <row r="64" spans="1:12" x14ac:dyDescent="0.3">
      <c r="A64">
        <v>59</v>
      </c>
      <c r="B64" t="str">
        <v>Denice Alto</v>
      </c>
      <c r="C64">
        <v>0</v>
      </c>
      <c r="D64" t="str">
        <v>female</v>
      </c>
      <c r="E64" s="2">
        <v>0</v>
      </c>
      <c r="F64" s="2">
        <v>0</v>
      </c>
      <c r="G64">
        <v>22</v>
      </c>
      <c r="H64">
        <v>23</v>
      </c>
      <c r="I64" t="str">
        <v/>
      </c>
      <c r="J64" t="str">
        <v/>
      </c>
      <c r="K64" t="str">
        <f ca="1"/>
        <v/>
      </c>
      <c r="L64">
        <v>0</v>
      </c>
    </row>
    <row r="65" spans="1:12" x14ac:dyDescent="0.3">
      <c r="A65">
        <v>60</v>
      </c>
      <c r="B65" t="str">
        <v>Nicolas Miles Alto</v>
      </c>
      <c r="C65">
        <v>0</v>
      </c>
      <c r="D65" t="str">
        <v>male</v>
      </c>
      <c r="E65" s="2">
        <v>0</v>
      </c>
      <c r="F65" s="2">
        <v>0</v>
      </c>
      <c r="G65">
        <v>22</v>
      </c>
      <c r="H65">
        <v>23</v>
      </c>
      <c r="I65" t="str">
        <v/>
      </c>
      <c r="J65" t="str">
        <v/>
      </c>
      <c r="K65" t="str">
        <f ca="1"/>
        <v/>
      </c>
      <c r="L65">
        <v>0</v>
      </c>
    </row>
    <row r="66" spans="1:12" x14ac:dyDescent="0.3">
      <c r="A66">
        <v>61</v>
      </c>
      <c r="B66" t="str">
        <v>Ava Margaux Alto</v>
      </c>
      <c r="C66">
        <v>0</v>
      </c>
      <c r="D66" t="str">
        <v>female</v>
      </c>
      <c r="E66" s="2">
        <v>0</v>
      </c>
      <c r="F66" s="2">
        <v>0</v>
      </c>
      <c r="G66">
        <v>24</v>
      </c>
      <c r="H66">
        <v>25</v>
      </c>
      <c r="I66" t="str">
        <v/>
      </c>
      <c r="J66" t="str">
        <v/>
      </c>
      <c r="K66" t="str">
        <f ca="1"/>
        <v/>
      </c>
      <c r="L66">
        <v>0</v>
      </c>
    </row>
    <row r="67" spans="1:12" x14ac:dyDescent="0.3">
      <c r="A67">
        <v>62</v>
      </c>
      <c r="B67" t="str">
        <v xml:space="preserve">Tifanny Claire </v>
      </c>
      <c r="C67">
        <v>0</v>
      </c>
      <c r="D67" t="str">
        <v>female</v>
      </c>
      <c r="E67" s="2">
        <v>0</v>
      </c>
      <c r="F67" s="2">
        <v>0</v>
      </c>
      <c r="G67">
        <v>26</v>
      </c>
      <c r="H67">
        <v>27</v>
      </c>
      <c r="I67" t="str">
        <v/>
      </c>
      <c r="J67" t="str">
        <v/>
      </c>
      <c r="K67" t="str">
        <f ca="1"/>
        <v/>
      </c>
      <c r="L67">
        <v>0</v>
      </c>
    </row>
    <row r="68" spans="1:12" x14ac:dyDescent="0.3">
      <c r="A68">
        <v>63</v>
      </c>
      <c r="B68" t="str">
        <v>Matthew Ira James</v>
      </c>
      <c r="C68">
        <v>0</v>
      </c>
      <c r="D68" t="str">
        <v>male</v>
      </c>
      <c r="E68" s="2">
        <v>0</v>
      </c>
      <c r="F68" s="2">
        <v>0</v>
      </c>
      <c r="G68">
        <v>26</v>
      </c>
      <c r="H68">
        <v>27</v>
      </c>
      <c r="I68" t="str">
        <v/>
      </c>
      <c r="J68" t="str">
        <v/>
      </c>
      <c r="K68" t="str">
        <f ca="1"/>
        <v/>
      </c>
      <c r="L68">
        <v>0</v>
      </c>
    </row>
    <row r="69" spans="1:12" x14ac:dyDescent="0.3">
      <c r="A69">
        <v>64</v>
      </c>
      <c r="B69" t="str">
        <v>Brandon Alto</v>
      </c>
      <c r="C69">
        <v>0</v>
      </c>
      <c r="D69" t="str">
        <v>male</v>
      </c>
      <c r="E69" s="2">
        <v>0</v>
      </c>
      <c r="F69" s="2">
        <v>0</v>
      </c>
      <c r="G69">
        <v>28</v>
      </c>
      <c r="H69">
        <v>29</v>
      </c>
      <c r="I69" t="str">
        <v/>
      </c>
      <c r="J69" t="str">
        <v/>
      </c>
      <c r="K69" t="str">
        <f ca="1"/>
        <v/>
      </c>
      <c r="L69">
        <v>0</v>
      </c>
    </row>
    <row r="70" spans="1:12" x14ac:dyDescent="0.3">
      <c r="A70">
        <v>65</v>
      </c>
      <c r="B70" t="str">
        <v>Harold Wilson Alto</v>
      </c>
      <c r="C70">
        <v>0</v>
      </c>
      <c r="D70" t="str">
        <v>male</v>
      </c>
      <c r="E70" s="2">
        <v>0</v>
      </c>
      <c r="F70" s="2">
        <v>0</v>
      </c>
      <c r="G70">
        <v>30</v>
      </c>
      <c r="H70">
        <v>31</v>
      </c>
      <c r="I70" t="str">
        <v/>
      </c>
      <c r="J70" t="str">
        <v/>
      </c>
      <c r="K70" t="str">
        <f ca="1"/>
        <v/>
      </c>
      <c r="L70">
        <v>0</v>
      </c>
    </row>
    <row r="71" spans="1:12" x14ac:dyDescent="0.3">
      <c r="A71">
        <v>66</v>
      </c>
      <c r="B71" t="str">
        <v>Sophia Joy Alto</v>
      </c>
      <c r="C71">
        <v>0</v>
      </c>
      <c r="D71" t="str">
        <v>female</v>
      </c>
      <c r="E71" s="2">
        <v>0</v>
      </c>
      <c r="F71" s="2">
        <v>0</v>
      </c>
      <c r="G71">
        <v>30</v>
      </c>
      <c r="H71">
        <v>31</v>
      </c>
      <c r="I71" t="str">
        <v/>
      </c>
      <c r="J71" t="str">
        <v/>
      </c>
      <c r="K71" t="str">
        <f ca="1"/>
        <v/>
      </c>
      <c r="L71">
        <v>0</v>
      </c>
    </row>
    <row r="72" spans="1:12" x14ac:dyDescent="0.3">
      <c r="A72">
        <v>67</v>
      </c>
      <c r="B72" t="str">
        <v>Noah Michael Alto</v>
      </c>
      <c r="C72">
        <v>0</v>
      </c>
      <c r="D72" t="str">
        <v>male</v>
      </c>
      <c r="E72" s="2">
        <v>0</v>
      </c>
      <c r="F72" s="2">
        <v>0</v>
      </c>
      <c r="G72">
        <v>32</v>
      </c>
      <c r="H72">
        <v>33</v>
      </c>
      <c r="I72" t="str">
        <v/>
      </c>
      <c r="J72" t="str">
        <v/>
      </c>
      <c r="K72" t="str">
        <f ca="1"/>
        <v/>
      </c>
      <c r="L72">
        <v>0</v>
      </c>
    </row>
    <row r="73" spans="1:12" x14ac:dyDescent="0.3">
      <c r="A73">
        <v>68</v>
      </c>
      <c r="B73" t="str">
        <v>Marina Alto</v>
      </c>
      <c r="C73">
        <v>0</v>
      </c>
      <c r="D73" t="str">
        <v>female</v>
      </c>
      <c r="E73" s="2">
        <v>0</v>
      </c>
      <c r="F73" s="2">
        <v>0</v>
      </c>
      <c r="G73">
        <v>36</v>
      </c>
      <c r="H73" t="str">
        <v/>
      </c>
      <c r="I73" t="str">
        <v/>
      </c>
      <c r="J73" t="str">
        <v/>
      </c>
      <c r="K73" t="str">
        <f ca="1"/>
        <v/>
      </c>
      <c r="L73">
        <v>0</v>
      </c>
    </row>
    <row r="74" spans="1:12" x14ac:dyDescent="0.3">
      <c r="A74">
        <v>69</v>
      </c>
      <c r="B74" t="str">
        <v>Alexander Adam Alto</v>
      </c>
      <c r="C74">
        <v>0</v>
      </c>
      <c r="D74" t="str">
        <v>male</v>
      </c>
      <c r="E74" s="2">
        <v>0</v>
      </c>
      <c r="F74" s="2">
        <v>0</v>
      </c>
      <c r="G74">
        <v>36</v>
      </c>
      <c r="H74" t="str">
        <v/>
      </c>
      <c r="I74" t="str">
        <v/>
      </c>
      <c r="J74" t="str">
        <v/>
      </c>
      <c r="K74" t="str">
        <f ca="1"/>
        <v/>
      </c>
      <c r="L74">
        <v>0</v>
      </c>
    </row>
    <row r="75" spans="1:12" x14ac:dyDescent="0.3">
      <c r="A75">
        <v>70</v>
      </c>
      <c r="B75" t="str">
        <v>Jayson Jordan Alto</v>
      </c>
      <c r="C75">
        <v>0</v>
      </c>
      <c r="D75" t="str">
        <v>male</v>
      </c>
      <c r="E75" s="2">
        <v>0</v>
      </c>
      <c r="F75" s="2">
        <v>0</v>
      </c>
      <c r="G75">
        <v>36</v>
      </c>
      <c r="H75" t="str">
        <v/>
      </c>
      <c r="I75" t="str">
        <v/>
      </c>
      <c r="J75" t="str">
        <v/>
      </c>
      <c r="K75" t="str">
        <f ca="1"/>
        <v/>
      </c>
      <c r="L75">
        <v>0</v>
      </c>
    </row>
    <row r="76" spans="1:12" x14ac:dyDescent="0.3">
      <c r="A76">
        <v>71</v>
      </c>
      <c r="B76" t="str">
        <v>Dianne Joy Zano</v>
      </c>
      <c r="C76">
        <v>0</v>
      </c>
      <c r="D76" t="str">
        <v>female</v>
      </c>
      <c r="E76" s="2">
        <v>0</v>
      </c>
      <c r="F76" s="2">
        <v>0</v>
      </c>
      <c r="G76">
        <v>40</v>
      </c>
      <c r="H76">
        <v>41</v>
      </c>
      <c r="I76" t="str">
        <v/>
      </c>
      <c r="J76" t="str">
        <v/>
      </c>
      <c r="K76" t="str">
        <f ca="1"/>
        <v/>
      </c>
      <c r="L76">
        <v>0</v>
      </c>
    </row>
    <row r="77" spans="1:12" x14ac:dyDescent="0.3">
      <c r="A77">
        <v>72</v>
      </c>
      <c r="B77" t="str">
        <v>Arwen Reese Alto</v>
      </c>
      <c r="C77">
        <v>0</v>
      </c>
      <c r="D77" t="str">
        <v>female</v>
      </c>
      <c r="E77" s="2">
        <v>0</v>
      </c>
      <c r="F77" s="2">
        <v>0</v>
      </c>
      <c r="G77">
        <v>46</v>
      </c>
      <c r="H77">
        <v>47</v>
      </c>
      <c r="I77" t="str">
        <v/>
      </c>
      <c r="J77" t="str">
        <v/>
      </c>
      <c r="K77" t="str">
        <f ca="1"/>
        <v/>
      </c>
      <c r="L77">
        <v>0</v>
      </c>
    </row>
    <row r="78" spans="1:12" x14ac:dyDescent="0.3">
      <c r="A78">
        <v>73</v>
      </c>
      <c r="B78" t="str">
        <v>Aiden Rhyle</v>
      </c>
      <c r="C78">
        <v>0</v>
      </c>
      <c r="D78" t="str">
        <v>male</v>
      </c>
      <c r="E78" s="2">
        <v>0</v>
      </c>
      <c r="F78" s="2">
        <v>0</v>
      </c>
      <c r="G78">
        <v>46</v>
      </c>
      <c r="H78">
        <v>47</v>
      </c>
      <c r="I78" t="str">
        <v/>
      </c>
      <c r="J78" t="str">
        <v/>
      </c>
      <c r="K78" t="str">
        <f ca="1"/>
        <v/>
      </c>
      <c r="L78">
        <v>0</v>
      </c>
    </row>
    <row r="79" spans="1:12" x14ac:dyDescent="0.3">
      <c r="A79">
        <v>74</v>
      </c>
      <c r="B79" t="str">
        <v>Janiyah Ruisse Obiles</v>
      </c>
      <c r="C79">
        <v>0</v>
      </c>
      <c r="D79" t="str">
        <v>female</v>
      </c>
      <c r="E79" s="2">
        <v>0</v>
      </c>
      <c r="F79" s="2">
        <v>0</v>
      </c>
      <c r="G79">
        <v>48</v>
      </c>
      <c r="H79">
        <v>49</v>
      </c>
      <c r="I79" t="str">
        <v/>
      </c>
      <c r="J79" t="str">
        <v/>
      </c>
      <c r="K79" t="str">
        <f ca="1"/>
        <v/>
      </c>
      <c r="L79">
        <v>0</v>
      </c>
    </row>
    <row r="80" spans="1:12" x14ac:dyDescent="0.3">
      <c r="A80">
        <v>75</v>
      </c>
      <c r="B80" t="str">
        <v>Justin Lhance Alto</v>
      </c>
      <c r="C80">
        <v>0</v>
      </c>
      <c r="D80" t="str">
        <v>male</v>
      </c>
      <c r="E80" s="2">
        <v>0</v>
      </c>
      <c r="F80" s="2">
        <v>0</v>
      </c>
      <c r="G80">
        <v>50</v>
      </c>
      <c r="H80" t="str">
        <v/>
      </c>
      <c r="I80" t="str">
        <v/>
      </c>
      <c r="J80" t="str">
        <v/>
      </c>
      <c r="K80" t="str">
        <f ca="1"/>
        <v/>
      </c>
      <c r="L80">
        <v>0</v>
      </c>
    </row>
    <row r="81" spans="1:12" x14ac:dyDescent="0.3">
      <c r="A81">
        <v>76</v>
      </c>
      <c r="B81" t="str">
        <v>Joshua Landice Alto</v>
      </c>
      <c r="C81">
        <v>0</v>
      </c>
      <c r="D81" t="str">
        <v>male</v>
      </c>
      <c r="E81" s="2">
        <v>0</v>
      </c>
      <c r="F81" s="2">
        <v>0</v>
      </c>
      <c r="G81">
        <v>50</v>
      </c>
      <c r="H81" t="str">
        <v/>
      </c>
      <c r="I81" t="str">
        <v/>
      </c>
      <c r="J81" t="str">
        <v/>
      </c>
      <c r="K81" t="str">
        <f ca="1"/>
        <v/>
      </c>
      <c r="L81">
        <v>0</v>
      </c>
    </row>
    <row r="82" spans="1:12" x14ac:dyDescent="0.3">
      <c r="A82">
        <v>77</v>
      </c>
      <c r="B82" t="str">
        <v>Jairo Leslie Alto</v>
      </c>
      <c r="C82">
        <v>0</v>
      </c>
      <c r="D82" t="str">
        <v>male</v>
      </c>
      <c r="E82" s="2">
        <v>0</v>
      </c>
      <c r="F82" s="2">
        <v>0</v>
      </c>
      <c r="G82">
        <v>50</v>
      </c>
      <c r="H82" t="str">
        <v/>
      </c>
      <c r="I82" t="str">
        <v/>
      </c>
      <c r="J82" t="str">
        <v/>
      </c>
      <c r="K82" t="str">
        <f ca="1"/>
        <v/>
      </c>
      <c r="L82">
        <v>0</v>
      </c>
    </row>
    <row r="83" spans="1:12" x14ac:dyDescent="0.3">
      <c r="A83">
        <v>78</v>
      </c>
      <c r="B83" t="str">
        <v>Lyza Joelie Alto</v>
      </c>
      <c r="C83">
        <v>0</v>
      </c>
      <c r="D83" t="str">
        <v>female</v>
      </c>
      <c r="E83" s="2">
        <v>0</v>
      </c>
      <c r="F83" s="2">
        <v>0</v>
      </c>
      <c r="G83">
        <v>50</v>
      </c>
      <c r="H83" t="str">
        <v/>
      </c>
      <c r="I83" t="str">
        <v/>
      </c>
      <c r="J83" t="str">
        <v/>
      </c>
      <c r="K83" t="str">
        <f ca="1"/>
        <v/>
      </c>
      <c r="L83">
        <v>0</v>
      </c>
    </row>
    <row r="84" spans="1:12" x14ac:dyDescent="0.3">
      <c r="A84">
        <v>79</v>
      </c>
      <c r="B84" t="str">
        <v>Ryder Garland</v>
      </c>
      <c r="C84">
        <v>0</v>
      </c>
      <c r="D84" t="str">
        <v>female</v>
      </c>
      <c r="E84" s="2">
        <v>0</v>
      </c>
      <c r="F84" s="2">
        <v>0</v>
      </c>
      <c r="G84" t="str">
        <v/>
      </c>
      <c r="H84">
        <v>51</v>
      </c>
      <c r="I84" t="str">
        <v/>
      </c>
      <c r="J84" t="str">
        <v/>
      </c>
      <c r="K84" t="str">
        <f ca="1"/>
        <v/>
      </c>
      <c r="L84">
        <v>0</v>
      </c>
    </row>
    <row r="85" spans="1:12" x14ac:dyDescent="0.3">
      <c r="A85">
        <v>80</v>
      </c>
      <c r="B85" t="str">
        <v>Alexis Mei Lim</v>
      </c>
      <c r="C85">
        <v>0</v>
      </c>
      <c r="D85" t="str">
        <v>female</v>
      </c>
      <c r="E85" s="2">
        <v>41817</v>
      </c>
      <c r="F85" s="2">
        <v>0</v>
      </c>
      <c r="G85">
        <v>52</v>
      </c>
      <c r="H85">
        <v>53</v>
      </c>
      <c r="I85" t="str">
        <v/>
      </c>
      <c r="J85" t="str">
        <v/>
      </c>
      <c r="K85" t="str">
        <f ca="1"/>
        <v>11 years, 7 months, 22 days</v>
      </c>
      <c r="L85">
        <v>0</v>
      </c>
    </row>
    <row r="86" spans="1:12" x14ac:dyDescent="0.3">
      <c r="A86">
        <v>81</v>
      </c>
      <c r="B86" t="str">
        <v>Samara Jia Lim</v>
      </c>
      <c r="C86">
        <v>0</v>
      </c>
      <c r="D86" t="str">
        <v>female</v>
      </c>
      <c r="E86" s="2">
        <v>44335</v>
      </c>
      <c r="F86" s="2">
        <v>45164</v>
      </c>
      <c r="G86">
        <v>52</v>
      </c>
      <c r="H86">
        <v>53</v>
      </c>
      <c r="I86" t="str">
        <v/>
      </c>
      <c r="J86" t="str">
        <v>2 years, 3 months, 7 days</v>
      </c>
      <c r="K86" t="str">
        <f ca="1"/>
        <v/>
      </c>
      <c r="L86">
        <v>0</v>
      </c>
    </row>
    <row r="87" spans="1:12" x14ac:dyDescent="0.3">
      <c r="A87">
        <v>82</v>
      </c>
      <c r="B87" t="str">
        <v>Tamsyn Jie Lim</v>
      </c>
      <c r="C87">
        <v>0</v>
      </c>
      <c r="D87" t="str">
        <v>female</v>
      </c>
      <c r="E87" s="2">
        <v>45188</v>
      </c>
      <c r="F87" s="2">
        <v>0</v>
      </c>
      <c r="G87">
        <v>52</v>
      </c>
      <c r="H87">
        <v>53</v>
      </c>
      <c r="I87" t="str">
        <v/>
      </c>
      <c r="J87" t="str">
        <v/>
      </c>
      <c r="K87" t="str">
        <f ca="1"/>
        <v>2 years, 4 months, 30 days</v>
      </c>
      <c r="L87">
        <v>0</v>
      </c>
    </row>
    <row r="88" spans="1:12" x14ac:dyDescent="0.3">
      <c r="A88">
        <v>83</v>
      </c>
      <c r="B88" t="str">
        <v>Zoe Alto</v>
      </c>
      <c r="C88">
        <v>0</v>
      </c>
      <c r="D88" t="str">
        <v>female</v>
      </c>
      <c r="E88" s="2">
        <v>0</v>
      </c>
      <c r="F88" s="2">
        <v>0</v>
      </c>
      <c r="G88">
        <v>54</v>
      </c>
      <c r="H88">
        <v>55</v>
      </c>
      <c r="I88" t="str">
        <v/>
      </c>
      <c r="J88" t="str">
        <v/>
      </c>
      <c r="K88" t="str">
        <f ca="1"/>
        <v/>
      </c>
      <c r="L88">
        <v>0</v>
      </c>
    </row>
  </sheetData>
  <sheetProtection algorithmName="SHA-512" hashValue="z2qPucUrqzpAbNrSN+cTXqXL9VmvHlBebf7zJLZukSo935FG2MWtQHQaAHBYBjvhorIZyzPuXgxNE9xi36mPtA==" saltValue="RQEcPLaOesrjkBOnJxq8Pw==" spinCount="100000" sheet="1" objects="1" scenarios="1"/>
  <conditionalFormatting sqref="A6:L10000">
    <cfRule type="expression" dxfId="0" priority="1">
      <formula>NOT(ISBLANK(A6))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6825-0FBA-4842-8163-556CFF7BB299}">
  <sheetPr>
    <tabColor rgb="FF7030A0"/>
  </sheetPr>
  <dimension ref="A2:C5"/>
  <sheetViews>
    <sheetView showGridLines="0" workbookViewId="0">
      <selection activeCell="K21" sqref="K21"/>
    </sheetView>
  </sheetViews>
  <sheetFormatPr defaultRowHeight="14.4" x14ac:dyDescent="0.3"/>
  <cols>
    <col min="1" max="1" width="13.6640625" bestFit="1" customWidth="1"/>
  </cols>
  <sheetData>
    <row r="2" spans="1:3" x14ac:dyDescent="0.3">
      <c r="A2" s="1" t="s">
        <v>92</v>
      </c>
    </row>
    <row r="3" spans="1:3" x14ac:dyDescent="0.3">
      <c r="A3" t="s">
        <v>6</v>
      </c>
      <c r="C3" t="s">
        <v>93</v>
      </c>
    </row>
    <row r="4" spans="1:3" x14ac:dyDescent="0.3">
      <c r="A4" t="s">
        <v>19</v>
      </c>
    </row>
    <row r="5" spans="1:3" x14ac:dyDescent="0.3">
      <c r="A5" t="s">
        <v>22</v>
      </c>
    </row>
  </sheetData>
  <sheetProtection algorithmName="SHA-512" hashValue="5dUjJRWZSOEQlxyomtwe1cloYmfwix6vzNv53DCMd6LFLR+UJbqwBGHTsO0Li6Wxjf8guACy4W+Rf07BgnjeKA==" saltValue="SnS4O9O90iMFbbZ/qvoTfg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Family Tree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Washington Alto</dc:creator>
  <cp:keywords/>
  <dc:description/>
  <cp:lastModifiedBy>Washington Alto</cp:lastModifiedBy>
  <cp:revision/>
  <dcterms:created xsi:type="dcterms:W3CDTF">2026-01-17T04:21:01Z</dcterms:created>
  <dcterms:modified xsi:type="dcterms:W3CDTF">2026-02-18T02:34:01Z</dcterms:modified>
  <cp:category/>
  <cp:contentStatus/>
</cp:coreProperties>
</file>